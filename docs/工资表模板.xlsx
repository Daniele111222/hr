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 updateLinks="never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windowWidth="21600" windowHeight="10455" tabRatio="681"/>
  </bookViews>
  <sheets>
    <sheet name="汇总" sheetId="58" r:id="rId1"/>
    <sheet name="工资表明细" sheetId="68" r:id="rId2"/>
    <sheet name="考勤表" sheetId="85" r:id="rId3"/>
    <sheet name="增减项异动表" sheetId="86" r:id="rId4"/>
    <sheet name="花名册" sheetId="64" r:id="rId5"/>
    <sheet name="社保公积金明细" sheetId="48" r:id="rId6"/>
    <sheet name="最低工资标准" sheetId="54" state="hidden" r:id="rId7"/>
    <sheet name="工资条" sheetId="108" r:id="rId8"/>
    <sheet name="个税计算" sheetId="100" state="hidden" r:id="rId9"/>
    <sheet name="研发工时表" sheetId="109" state="hidden" r:id="rId10"/>
    <sheet name="个税上月累计情况" sheetId="101" state="hidden" r:id="rId11"/>
    <sheet name="法定假日列表" sheetId="99" state="hidden" r:id="rId12"/>
    <sheet name="导入模版（北分）" sheetId="102" state="hidden" r:id="rId13"/>
    <sheet name="导入模版（北京）" sheetId="103" state="hidden" r:id="rId14"/>
    <sheet name="导入模版（成都）" sheetId="104" state="hidden" r:id="rId15"/>
    <sheet name="导入模版（杭州）" sheetId="92" state="hidden" r:id="rId16"/>
    <sheet name="导入模版（深圳）" sheetId="105" state="hidden" r:id="rId17"/>
    <sheet name="导入模版（武汉）" sheetId="106" state="hidden" r:id="rId18"/>
    <sheet name="导入模版（中汽）" sheetId="107" state="hidden" r:id="rId19"/>
    <sheet name="报税-人员信息采集表" sheetId="87" state="hidden" r:id="rId20"/>
    <sheet name="报税-正常工资" sheetId="88" state="hidden" r:id="rId21"/>
    <sheet name="报税-劳务" sheetId="89" state="hidden" r:id="rId22"/>
    <sheet name="报税-经济补偿金" sheetId="90" state="hidden" r:id="rId23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2" hidden="1">考勤表!$A$2:$BD$2</definedName>
    <definedName name="_xlnm._FilterDatabase" localSheetId="6" hidden="1">最低工资标准!$A$1:$H$10</definedName>
    <definedName name="_xlnm._FilterDatabase" localSheetId="8" hidden="1">个税计算!$A$4:$BK$78</definedName>
    <definedName name="_xlnm._FilterDatabase" localSheetId="9" hidden="1">研发工时表!$A$1:$Q$75</definedName>
    <definedName name="_xlnm._FilterDatabase" localSheetId="1" hidden="1">工资表明细!$A$3:$BQ$3</definedName>
    <definedName name="_xlnm._FilterDatabase" localSheetId="20" hidden="1">'报税-正常工资'!$A$1:$AF$72</definedName>
    <definedName name="_xlnm._FilterDatabase" localSheetId="4" hidden="1">花名册!$A$1:$AF$1</definedName>
    <definedName name="_xlnm._FilterDatabase" localSheetId="10" hidden="1">个税上月累计情况!$A$4:$AY$83</definedName>
    <definedName name="_xlnm._FilterDatabase" localSheetId="19" hidden="1">'报税-人员信息采集表'!$A$1:$AY$2</definedName>
    <definedName name="_xlnm._FilterDatabase" localSheetId="3" hidden="1">增减项异动表!$A$1:$F$1</definedName>
    <definedName name="_xlnm._FilterDatabase" localSheetId="5" hidden="1">社保公积金明细!$2:$2</definedName>
    <definedName name="是否">[1]选项!$A$1:$A$2</definedName>
    <definedName name="Hidden000cdfc206468fca52c_1_11">[2]Hidden000cdfc206468fca52c!$A$1:$A$71</definedName>
    <definedName name="Hidden000cdfc206468fca52c_1_17">[2]Hidden000cdfc206468fca52c!$B$1:$B$7</definedName>
    <definedName name="Hidden000cdfc206468fca52c_1_22">[2]Hidden000cdfc206468fca52c!$C$1:$C$7</definedName>
    <definedName name="Hidden000cdfc206468fca52c_1_23">[2]Hidden000cdfc206468fca52c!$D$1:$D$2</definedName>
    <definedName name="Hidden000cdfc206468fca52c_1_24">[2]Hidden000cdfc206468fca52c!$E$1:$E$8</definedName>
    <definedName name="Hidden000cdfc206468fca52c_1_27">[2]Hidden000cdfc206468fca52c!$F$1:$F$10</definedName>
    <definedName name="Hidden000cdfc206468fca52c_1_32">[2]Hidden000cdfc206468fca52c!$G$1:$G$2</definedName>
    <definedName name="Hidden000cdfc206468fca52c_1_33">[2]Hidden000cdfc206468fca52c!$H$1:$H$5</definedName>
    <definedName name="Hidden000cdfc206468fca52c_1_34">[2]Hidden000cdfc206468fca52c!$I$1:$I$5</definedName>
    <definedName name="Hidden000cdfc206468fca52c_1_35">[2]Hidden000cdfc206468fca52c!$J$1:$J$58</definedName>
    <definedName name="Hidden000cdfc206468fca52c_1_43">[2]Hidden000cdfc206468fca52c!$K$1:$K$9</definedName>
    <definedName name="Hidden000cdfc206468fca52c_1_44">[2]Hidden000cdfc206468fca52c!$L$1:$L$4</definedName>
    <definedName name="Hidden000cdfc206468fca52c_1_56">[2]Hidden000cdfc206468fca52c!$M$1:$M$8</definedName>
    <definedName name="Hidden000cdfc206468fca52c_1_57">[2]Hidden000cdfc206468fca52c!$N$1:$N$7</definedName>
    <definedName name="Hidden000cdfc206468fca52c_1_58">[2]Hidden000cdfc206468fca52c!$O$1:$O$8</definedName>
    <definedName name="Hidden000cdfc206468fca52c_1_63">[2]Hidden000cdfc206468fca52c!$P$1:$P$5</definedName>
    <definedName name="Hidden000cdfc206468fca52c_1_67">[2]Hidden000cdfc206468fca52c!$Q$1:$Q$6</definedName>
    <definedName name="Hidden000cdfc206468fca52c_1_70">[2]Hidden000cdfc206468fca52c!$R$1:$R$6</definedName>
    <definedName name="Hidden000cdfc206468fca52c_1_71">[2]Hidden000cdfc206468fca52c!$S$1:$S$2</definedName>
    <definedName name="categoryHidden33">[3]categoryHidden33!A1:A170</definedName>
    <definedName name="categoryHidden9">#REF!</definedName>
    <definedName name="证件类型">[4]填表说明!$A$6:$A$17</definedName>
    <definedName name="法定假日">#REF!</definedName>
    <definedName name="补班日">#REF!</definedName>
    <definedName name="港澳居民来往内地通行证">[5]填表说明!$G$7</definedName>
    <definedName name="国籍地区">[5]填表说明!$C$7:$C$249</definedName>
    <definedName name="开户银行">[5]填表说明!$M$5:$M$717</definedName>
    <definedName name="涉税事由">[5]填表说明!$A$39:$A$43</definedName>
    <definedName name="省份">[5]填表说明!$K$5:$K$38</definedName>
    <definedName name="证照类型">[5]填表说明!$E$6:$J$6</definedName>
    <definedName name="所得项目">[6]填表说明!$A$5:$A$6</definedName>
    <definedName name="Hidden000cdfc206468fca52c_1_27" localSheetId="15">[7]Hidden000cdfc206468fca52c!$F$1:$F$10</definedName>
    <definedName name="Hidden000cdfc206468fca52c_1_27" localSheetId="12">[7]Hidden000cdfc206468fca52c!$F$1:$F$10</definedName>
    <definedName name="Hidden000cdfc206468fca52c_1_27" localSheetId="13">[7]Hidden000cdfc206468fca52c!$F$1:$F$10</definedName>
    <definedName name="Hidden000cdfc206468fca52c_1_27" localSheetId="14">[7]Hidden000cdfc206468fca52c!$F$1:$F$10</definedName>
    <definedName name="Hidden000cdfc206468fca52c_1_27" localSheetId="16">[7]Hidden000cdfc206468fca52c!$F$1:$F$10</definedName>
    <definedName name="Hidden000cdfc206468fca52c_1_27" localSheetId="17">[7]Hidden000cdfc206468fca52c!$F$1:$F$10</definedName>
    <definedName name="Hidden000cdfc206468fca52c_1_27" localSheetId="18">[7]Hidden000cdfc206468fca52c!$F$1:$F$10</definedName>
    <definedName name="_xlnm._FilterDatabase" localSheetId="7" hidden="1">工资条!$A$1:$Y$1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陈鑫鑫</author>
  </authors>
  <commentList>
    <comment ref="J1" authorId="0">
      <text>
        <r>
          <rPr>
            <b/>
            <sz val="9"/>
            <rFont val="宋体"/>
            <charset val="134"/>
          </rPr>
          <t>陈鑫鑫:</t>
        </r>
        <r>
          <rPr>
            <sz val="9"/>
            <rFont val="宋体"/>
            <charset val="134"/>
          </rPr>
          <t xml:space="preserve">
总人力成本</t>
        </r>
      </text>
    </comment>
    <comment ref="O1" authorId="0">
      <text>
        <r>
          <rPr>
            <b/>
            <sz val="9"/>
            <rFont val="宋体"/>
            <charset val="134"/>
          </rPr>
          <t>陈鑫鑫:</t>
        </r>
        <r>
          <rPr>
            <sz val="9"/>
            <rFont val="宋体"/>
            <charset val="134"/>
          </rPr>
          <t xml:space="preserve">
朱瑞丽4.5天，刘柏良0.5天，温丽敏2天</t>
        </r>
      </text>
    </comment>
    <comment ref="P1" authorId="0">
      <text>
        <r>
          <rPr>
            <b/>
            <sz val="9"/>
            <rFont val="宋体"/>
            <charset val="134"/>
          </rPr>
          <t>陈鑫鑫:</t>
        </r>
        <r>
          <rPr>
            <sz val="9"/>
            <rFont val="宋体"/>
            <charset val="134"/>
          </rPr>
          <t xml:space="preserve">
大数据项目人力成本</t>
        </r>
      </text>
    </comment>
    <comment ref="Q1" authorId="0">
      <text>
        <r>
          <rPr>
            <b/>
            <sz val="9"/>
            <rFont val="宋体"/>
            <charset val="134"/>
          </rPr>
          <t>陈鑫鑫:</t>
        </r>
        <r>
          <rPr>
            <sz val="9"/>
            <rFont val="宋体"/>
            <charset val="134"/>
          </rPr>
          <t xml:space="preserve">
总人力成本-大数据挖掘人力成本</t>
        </r>
      </text>
    </comment>
  </commentList>
</comments>
</file>

<file path=xl/comments2.xml><?xml version="1.0" encoding="utf-8"?>
<comments xmlns="http://schemas.openxmlformats.org/spreadsheetml/2006/main">
  <authors>
    <author>meix</author>
  </authors>
  <commentList>
    <comment ref="AV1" authorId="0">
      <text>
        <r>
          <rPr>
            <sz val="9"/>
            <rFont val="宋体"/>
            <charset val="134"/>
          </rPr>
          <t>开户银行、银行账号、开户行省份 需要同时录入</t>
        </r>
      </text>
    </comment>
    <comment ref="AW1" authorId="0">
      <text>
        <r>
          <rPr>
            <sz val="9"/>
            <rFont val="宋体"/>
            <charset val="134"/>
          </rPr>
          <t>开户银行、银行账号、开户行省份 需要同时录入</t>
        </r>
      </text>
    </comment>
    <comment ref="AX1" authorId="0">
      <text>
        <r>
          <rPr>
            <sz val="9"/>
            <rFont val="宋体"/>
            <charset val="134"/>
          </rPr>
          <t>开户银行、银行账号、开户行省份 需要同时录入</t>
        </r>
      </text>
    </comment>
  </commentList>
</comments>
</file>

<file path=xl/comments3.xml><?xml version="1.0" encoding="utf-8"?>
<comments xmlns="http://schemas.openxmlformats.org/spreadsheetml/2006/main">
  <authors>
    <author>songqf</author>
  </authors>
  <commentList>
    <comment ref="E1" authorId="0">
      <text>
        <r>
          <rPr>
            <sz val="9"/>
            <rFont val="宋体"/>
            <charset val="134"/>
          </rPr>
          <t>收入未填写时，默认为0.00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<sst xmlns="http://schemas.openxmlformats.org/spreadsheetml/2006/main" count="3111" uniqueCount="609">
  <si>
    <t>2026年7月六棱镜工资情况</t>
  </si>
  <si>
    <t>主体</t>
  </si>
  <si>
    <t>实发工资</t>
  </si>
  <si>
    <t>个税</t>
  </si>
  <si>
    <t>社保公司</t>
  </si>
  <si>
    <t>社保个人</t>
  </si>
  <si>
    <t>公积金公司</t>
  </si>
  <si>
    <t>公积金个人</t>
  </si>
  <si>
    <t>发薪人数</t>
  </si>
  <si>
    <t>下发项目</t>
  </si>
  <si>
    <t>金额</t>
  </si>
  <si>
    <t>北分</t>
  </si>
  <si>
    <t>在职实发</t>
  </si>
  <si>
    <t>成都</t>
  </si>
  <si>
    <t>离职实发</t>
  </si>
  <si>
    <t>杭州</t>
  </si>
  <si>
    <t>本月离职分期下发</t>
  </si>
  <si>
    <t>深圳</t>
  </si>
  <si>
    <t>本月在职分期下发</t>
  </si>
  <si>
    <t>武汉</t>
  </si>
  <si>
    <t>合计</t>
  </si>
  <si>
    <t>北京</t>
  </si>
  <si>
    <t>总计</t>
  </si>
  <si>
    <t>中汽</t>
  </si>
  <si>
    <t>C</t>
  </si>
  <si>
    <t>工资表</t>
  </si>
  <si>
    <t>序号</t>
  </si>
  <si>
    <t>员工信息</t>
  </si>
  <si>
    <t>年薪（万元）</t>
  </si>
  <si>
    <t>当月薪资标准</t>
  </si>
  <si>
    <t>固定薪资</t>
  </si>
  <si>
    <t>绩效薪资</t>
  </si>
  <si>
    <t>业绩提成奖</t>
  </si>
  <si>
    <t>其他增减项</t>
  </si>
  <si>
    <t>本月应发工资合计</t>
  </si>
  <si>
    <t>代扣代缴</t>
  </si>
  <si>
    <t>税后补款</t>
  </si>
  <si>
    <t>税后扣款</t>
  </si>
  <si>
    <t>社保公积金公司承担部分</t>
  </si>
  <si>
    <t>人工成本</t>
  </si>
  <si>
    <t>备注</t>
  </si>
  <si>
    <t>报税</t>
  </si>
  <si>
    <t>公司</t>
  </si>
  <si>
    <t>银行卡号</t>
  </si>
  <si>
    <t>开户行</t>
  </si>
  <si>
    <t>主体简称</t>
  </si>
  <si>
    <t>姓名</t>
  </si>
  <si>
    <t>身份证号</t>
  </si>
  <si>
    <t>入职日期</t>
  </si>
  <si>
    <t>转正日期</t>
  </si>
  <si>
    <t>离职日期</t>
  </si>
  <si>
    <t>一级部门</t>
  </si>
  <si>
    <t>二级部门</t>
  </si>
  <si>
    <t>三级部门</t>
  </si>
  <si>
    <t>职务</t>
  </si>
  <si>
    <t>劳动合同类型</t>
  </si>
  <si>
    <t>职级</t>
  </si>
  <si>
    <t>当月固定薪资标准</t>
  </si>
  <si>
    <t>迟到早退
扣款</t>
  </si>
  <si>
    <t>缺卡扣款</t>
  </si>
  <si>
    <t>事假扣款</t>
  </si>
  <si>
    <t>病假
扣款</t>
  </si>
  <si>
    <t>旷工
扣款</t>
  </si>
  <si>
    <t>产假扣款</t>
  </si>
  <si>
    <t>当月未出勤（入离职）</t>
  </si>
  <si>
    <t>考勤扣款合计</t>
  </si>
  <si>
    <t>考勤激励</t>
  </si>
  <si>
    <t>工资增项</t>
  </si>
  <si>
    <t>工资减项</t>
  </si>
  <si>
    <t>应发固定工资</t>
  </si>
  <si>
    <t>当月绩效标准</t>
  </si>
  <si>
    <t>绩效
系数</t>
  </si>
  <si>
    <t>本月工作日天数</t>
  </si>
  <si>
    <t>实际出勤天数</t>
  </si>
  <si>
    <t>绩效增项</t>
  </si>
  <si>
    <t>绩效减项</t>
  </si>
  <si>
    <t>绩效工资
支付方式</t>
  </si>
  <si>
    <t>应发绩效工资</t>
  </si>
  <si>
    <t>经济补偿金</t>
  </si>
  <si>
    <t>其他增项</t>
  </si>
  <si>
    <t>其他减项</t>
  </si>
  <si>
    <t>养老扣款
个人</t>
  </si>
  <si>
    <t>医疗扣款
个人</t>
  </si>
  <si>
    <t>失业扣款
个人</t>
  </si>
  <si>
    <t>社保扣款
个人合计</t>
  </si>
  <si>
    <t>公积金扣款
个人</t>
  </si>
  <si>
    <t>养老扣款
（单位）</t>
  </si>
  <si>
    <t>医疗扣款
（单位）</t>
  </si>
  <si>
    <t>失业扣款
（单位）</t>
  </si>
  <si>
    <t>工伤扣款
（单位）</t>
  </si>
  <si>
    <t>生育保险（单位）</t>
  </si>
  <si>
    <t>公司社保合计</t>
  </si>
  <si>
    <t>住房公积金扣款（单位）</t>
  </si>
  <si>
    <t>年终一次性奖申报</t>
  </si>
  <si>
    <t>劳务申报</t>
  </si>
  <si>
    <t>调整报税金额</t>
  </si>
  <si>
    <t>正常工资申报</t>
  </si>
  <si>
    <t>开户行（存疑）</t>
  </si>
  <si>
    <t>说明：</t>
  </si>
  <si>
    <t>产假员工</t>
  </si>
  <si>
    <t>调薪调动员工</t>
  </si>
  <si>
    <t>新入职员工</t>
  </si>
  <si>
    <t>劳务或特殊员工</t>
  </si>
  <si>
    <t>离职员工</t>
  </si>
  <si>
    <t>考勤截止日期</t>
  </si>
  <si>
    <t>试用期固定薪资</t>
  </si>
  <si>
    <t>试用期绩效</t>
  </si>
  <si>
    <t>转正固定薪资</t>
  </si>
  <si>
    <t>转正绩效</t>
  </si>
  <si>
    <t>当期考勤基数</t>
  </si>
  <si>
    <t>当地最低工资</t>
  </si>
  <si>
    <t>试用期工作日天数</t>
  </si>
  <si>
    <t>转正工作日天数</t>
  </si>
  <si>
    <t>工作日天数合计</t>
  </si>
  <si>
    <t>请假外未出勤天数（当月入离职）</t>
  </si>
  <si>
    <t>迟到时长</t>
  </si>
  <si>
    <t>早退时长</t>
  </si>
  <si>
    <t>缺卡次数</t>
  </si>
  <si>
    <t>旷工天数</t>
  </si>
  <si>
    <t>事假天数</t>
  </si>
  <si>
    <t>病假天数</t>
  </si>
  <si>
    <t>年假天数</t>
  </si>
  <si>
    <t>产假天数</t>
  </si>
  <si>
    <t>产检假天数</t>
  </si>
  <si>
    <t>陪产假天数</t>
  </si>
  <si>
    <t>育儿假天数</t>
  </si>
  <si>
    <t>婚假天数</t>
  </si>
  <si>
    <t>丧假天数</t>
  </si>
  <si>
    <t>其他福利假</t>
  </si>
  <si>
    <t>调休天数</t>
  </si>
  <si>
    <t>工作日加班时长</t>
  </si>
  <si>
    <t>休息日加班时长</t>
  </si>
  <si>
    <t>法定节假日加班时长</t>
  </si>
  <si>
    <t>请假外未出勤扣款</t>
  </si>
  <si>
    <t>迟到/早退扣款</t>
  </si>
  <si>
    <t>病假扣款</t>
  </si>
  <si>
    <t>旷工扣款</t>
  </si>
  <si>
    <t>总扣款</t>
  </si>
  <si>
    <t>工作日加班费</t>
  </si>
  <si>
    <t>休息日加班费</t>
  </si>
  <si>
    <t>法定节假日加班费</t>
  </si>
  <si>
    <t>全勤奖</t>
  </si>
  <si>
    <t>转正标记</t>
  </si>
  <si>
    <t>效验</t>
  </si>
  <si>
    <t>转正后实际出勤</t>
  </si>
  <si>
    <t>项目</t>
  </si>
  <si>
    <t>证件号码</t>
  </si>
  <si>
    <t>公司主体全称</t>
  </si>
  <si>
    <t>岗位</t>
  </si>
  <si>
    <t>一级岗位</t>
  </si>
  <si>
    <t>二级岗位</t>
  </si>
  <si>
    <t>直属上级</t>
  </si>
  <si>
    <t>入职时间</t>
  </si>
  <si>
    <t>离职时间</t>
  </si>
  <si>
    <t>手机号</t>
  </si>
  <si>
    <t xml:space="preserve"> 转正固定薪资 </t>
  </si>
  <si>
    <t xml:space="preserve"> 转正绩效标准 </t>
  </si>
  <si>
    <t>试用期底薪</t>
  </si>
  <si>
    <t>绩效支付周期</t>
  </si>
  <si>
    <t>企业微信邮箱</t>
  </si>
  <si>
    <t>身份证号码</t>
  </si>
  <si>
    <t>缴纳主体</t>
  </si>
  <si>
    <t>缴费地区</t>
  </si>
  <si>
    <t>社保基数</t>
  </si>
  <si>
    <t>住房公积金基数</t>
  </si>
  <si>
    <t>养老保险</t>
  </si>
  <si>
    <t>医疗保险</t>
  </si>
  <si>
    <t>失业保险</t>
  </si>
  <si>
    <t>工伤保险</t>
  </si>
  <si>
    <t>生育保险</t>
  </si>
  <si>
    <t>社会保险合计</t>
  </si>
  <si>
    <t>公积金</t>
  </si>
  <si>
    <t>公司合计</t>
  </si>
  <si>
    <t>个人合计</t>
  </si>
  <si>
    <t>滞纳金</t>
  </si>
  <si>
    <t>服务费</t>
  </si>
  <si>
    <t>其他费用</t>
  </si>
  <si>
    <t>企业</t>
  </si>
  <si>
    <t>个人</t>
  </si>
  <si>
    <t>公司全称</t>
  </si>
  <si>
    <t>公司简称</t>
  </si>
  <si>
    <t>地区</t>
  </si>
  <si>
    <t>当地最低工资标准</t>
  </si>
  <si>
    <t>六棱镜（杭州）科技有限公司北京分公司</t>
  </si>
  <si>
    <t>https://rsj.beijing.gov.cn/xxgk/zcwj/202307/t20230714_3162615.html</t>
  </si>
  <si>
    <t>北京六棱镜数字科技发展有限公司</t>
  </si>
  <si>
    <t>成都六棱镜数字科技有限公司</t>
  </si>
  <si>
    <t>六棱镜（杭州）科技有限公司</t>
  </si>
  <si>
    <t>浙江1档</t>
  </si>
  <si>
    <t>广东六棱镜数字科技发展有限公司</t>
  </si>
  <si>
    <t>中城六棱镜（武汉）科技有限公司</t>
  </si>
  <si>
    <t>广州</t>
  </si>
  <si>
    <t>中汽-长沙</t>
  </si>
  <si>
    <t>长沙</t>
  </si>
  <si>
    <t>中汽知识产权投资运营中心（北京）有限公司</t>
  </si>
  <si>
    <t>中汽-北京</t>
  </si>
  <si>
    <t>固定工资标准</t>
  </si>
  <si>
    <t>绩效工资标准</t>
  </si>
  <si>
    <t>本月工作
日天数</t>
  </si>
  <si>
    <t>迟到早退时长</t>
  </si>
  <si>
    <t>事假</t>
  </si>
  <si>
    <t>当月未出勤（入离职）（天）</t>
  </si>
  <si>
    <t>病假
（天）</t>
  </si>
  <si>
    <t>增项合计</t>
  </si>
  <si>
    <t>减项合计</t>
  </si>
  <si>
    <t>社保
个人合计</t>
  </si>
  <si>
    <t>公积金
个人合计</t>
  </si>
  <si>
    <t>辅助列-赔偿金</t>
  </si>
  <si>
    <t>辅助列-实发金额核验</t>
  </si>
  <si>
    <t>报税属期</t>
  </si>
  <si>
    <t>月</t>
  </si>
  <si>
    <t>身份证件类型</t>
  </si>
  <si>
    <t>身份证件号码</t>
  </si>
  <si>
    <t>是否为非居民个人</t>
  </si>
  <si>
    <t>所得项目</t>
  </si>
  <si>
    <t>本月（次）情况</t>
  </si>
  <si>
    <t>累计情况</t>
  </si>
  <si>
    <t>减按计税比例</t>
  </si>
  <si>
    <t>准予扣除的捐赠额</t>
  </si>
  <si>
    <t>税款计算</t>
  </si>
  <si>
    <t>收入额计算</t>
  </si>
  <si>
    <t>减除费用</t>
  </si>
  <si>
    <t>专项扣除</t>
  </si>
  <si>
    <t>其他扣除</t>
  </si>
  <si>
    <t>累计收入额</t>
  </si>
  <si>
    <t>累计减除费用</t>
  </si>
  <si>
    <t>累计专项扣除</t>
  </si>
  <si>
    <t>累计专项附加扣除</t>
  </si>
  <si>
    <t>累计个人养老金</t>
  </si>
  <si>
    <t>累计其他扣除</t>
  </si>
  <si>
    <t>应纳税所得额</t>
  </si>
  <si>
    <t>税率/预扣率</t>
  </si>
  <si>
    <t>速算扣除数</t>
  </si>
  <si>
    <t>应纳税额</t>
  </si>
  <si>
    <t>减免税额</t>
  </si>
  <si>
    <t>已缴税额</t>
  </si>
  <si>
    <t>应补/退税额</t>
  </si>
  <si>
    <t>收入</t>
  </si>
  <si>
    <t>费用</t>
  </si>
  <si>
    <t>免税收入</t>
  </si>
  <si>
    <t>基本养老保险费</t>
  </si>
  <si>
    <t>基本医疗保险费</t>
  </si>
  <si>
    <t>失业保险费</t>
  </si>
  <si>
    <t>住房公积金</t>
  </si>
  <si>
    <t>年金</t>
  </si>
  <si>
    <t>商业健康保险</t>
  </si>
  <si>
    <t>税延养老保险</t>
  </si>
  <si>
    <t>财产原值</t>
  </si>
  <si>
    <t>允许扣除的税费</t>
  </si>
  <si>
    <t>公务交通费用</t>
  </si>
  <si>
    <t>通讯费用</t>
  </si>
  <si>
    <t>律师办案费用</t>
  </si>
  <si>
    <t>展业成本</t>
  </si>
  <si>
    <t>西藏附加减除费用</t>
  </si>
  <si>
    <t>修缮费用</t>
  </si>
  <si>
    <t>有关合理费用</t>
  </si>
  <si>
    <t>向出租方支付的租金</t>
  </si>
  <si>
    <t>其他</t>
  </si>
  <si>
    <t>子女教育</t>
  </si>
  <si>
    <t>赡养老人</t>
  </si>
  <si>
    <t>住房贷款利息</t>
  </si>
  <si>
    <t>住房租金</t>
  </si>
  <si>
    <t>继续教育</t>
  </si>
  <si>
    <t>3岁以下婴幼儿照护</t>
  </si>
  <si>
    <t>上期已缴税额</t>
  </si>
  <si>
    <t>上期缴纳税额</t>
  </si>
  <si>
    <t>辅助列-入职时间</t>
  </si>
  <si>
    <t>耿德强</t>
  </si>
  <si>
    <t>居民身份证</t>
  </si>
  <si>
    <t>37028519831217171X</t>
  </si>
  <si>
    <t>否</t>
  </si>
  <si>
    <t>正常工资薪金</t>
  </si>
  <si>
    <t>-</t>
  </si>
  <si>
    <t>100%</t>
  </si>
  <si>
    <t/>
  </si>
  <si>
    <t>牛飞芸</t>
  </si>
  <si>
    <t>620402199105092732</t>
  </si>
  <si>
    <t>刘洋</t>
  </si>
  <si>
    <t>411102198406050051</t>
  </si>
  <si>
    <t>杨娟</t>
  </si>
  <si>
    <t>141034199511170105</t>
  </si>
  <si>
    <t>杨金雪</t>
  </si>
  <si>
    <t>211382199701014125</t>
  </si>
  <si>
    <t>马顺华</t>
  </si>
  <si>
    <t>429006198803300316</t>
  </si>
  <si>
    <t>耿惠欣</t>
  </si>
  <si>
    <t>37028519940425172X</t>
  </si>
  <si>
    <t>王鹏辉</t>
  </si>
  <si>
    <t>421181198909130413</t>
  </si>
  <si>
    <t>郭子轶</t>
  </si>
  <si>
    <t>510106197603021421</t>
  </si>
  <si>
    <t>陈昱光</t>
  </si>
  <si>
    <t>410881199208201514</t>
  </si>
  <si>
    <t>姜文超</t>
  </si>
  <si>
    <t>370831198704081514</t>
  </si>
  <si>
    <t>周海明</t>
  </si>
  <si>
    <t>130427198606116938</t>
  </si>
  <si>
    <t>高爽</t>
  </si>
  <si>
    <t>110111199310191641</t>
  </si>
  <si>
    <t>何泽栋</t>
  </si>
  <si>
    <t>420528199505212854</t>
  </si>
  <si>
    <t>田楠</t>
  </si>
  <si>
    <t>342221199203231524</t>
  </si>
  <si>
    <t>郭高伟</t>
  </si>
  <si>
    <t>412726199110166812</t>
  </si>
  <si>
    <t>黄晶</t>
  </si>
  <si>
    <t>420111199208023126</t>
  </si>
  <si>
    <t>陈洁</t>
  </si>
  <si>
    <t>110106199508180621</t>
  </si>
  <si>
    <t>王琪</t>
  </si>
  <si>
    <t>14273019951005291X</t>
  </si>
  <si>
    <t>许文艳</t>
  </si>
  <si>
    <t>130921198810150243</t>
  </si>
  <si>
    <t>黄国纬</t>
  </si>
  <si>
    <t>429004199301030733</t>
  </si>
  <si>
    <t>刘朝阳</t>
  </si>
  <si>
    <t>341282198706020451</t>
  </si>
  <si>
    <t>王龙</t>
  </si>
  <si>
    <t>142325199410257210</t>
  </si>
  <si>
    <t>孙帆</t>
  </si>
  <si>
    <t>140824199509230041</t>
  </si>
  <si>
    <t>刘丽藏</t>
  </si>
  <si>
    <t>130435199208291268</t>
  </si>
  <si>
    <t>葛明明</t>
  </si>
  <si>
    <t>130535200207021128</t>
  </si>
  <si>
    <t>刘海星</t>
  </si>
  <si>
    <t>130724198912104414</t>
  </si>
  <si>
    <t>姜文肖</t>
  </si>
  <si>
    <t>410922199312131347</t>
  </si>
  <si>
    <t>张印达</t>
  </si>
  <si>
    <t>131126199912010018</t>
  </si>
  <si>
    <t>乔琳</t>
  </si>
  <si>
    <t>130529199404255326</t>
  </si>
  <si>
    <t>彭勇</t>
  </si>
  <si>
    <t>370921199906164219</t>
  </si>
  <si>
    <t>温丽敏</t>
  </si>
  <si>
    <t>142431199803293020</t>
  </si>
  <si>
    <t>唐艳景</t>
  </si>
  <si>
    <t>411324199508133468</t>
  </si>
  <si>
    <t>朱瑞丽</t>
  </si>
  <si>
    <t>371324200108129825</t>
  </si>
  <si>
    <t>陈楚冰</t>
  </si>
  <si>
    <t>330681200010251588</t>
  </si>
  <si>
    <t>陈丽娟</t>
  </si>
  <si>
    <t>230103197203163221</t>
  </si>
  <si>
    <t>陈泓佳</t>
  </si>
  <si>
    <t>510802198811120026</t>
  </si>
  <si>
    <t>宁源双</t>
  </si>
  <si>
    <t>450721200302232625</t>
  </si>
  <si>
    <t>陈思坪</t>
  </si>
  <si>
    <t>210381200211304929</t>
  </si>
  <si>
    <t>夏昕</t>
  </si>
  <si>
    <t>110105200101229242</t>
  </si>
  <si>
    <t>刘柏良</t>
  </si>
  <si>
    <t>131182200104083813</t>
  </si>
  <si>
    <t>靳长明</t>
  </si>
  <si>
    <t>371421199906236319</t>
  </si>
  <si>
    <t>窦晴</t>
  </si>
  <si>
    <t>130682199902231367</t>
  </si>
  <si>
    <t>曹爱华</t>
  </si>
  <si>
    <t>131124199306212223</t>
  </si>
  <si>
    <t>吴松遥</t>
  </si>
  <si>
    <t>130923199806193424</t>
  </si>
  <si>
    <t>张泽祥</t>
  </si>
  <si>
    <t>14272619970703151X</t>
  </si>
  <si>
    <t>来桑桑</t>
  </si>
  <si>
    <t>330108198912080920</t>
  </si>
  <si>
    <t>董向毫</t>
  </si>
  <si>
    <t>412702200309131830</t>
  </si>
  <si>
    <t>王雨佳</t>
  </si>
  <si>
    <t>339005199412138426</t>
  </si>
  <si>
    <t>闵梦妮</t>
  </si>
  <si>
    <t>411521199904044629</t>
  </si>
  <si>
    <t>李亚宁</t>
  </si>
  <si>
    <t>130133200012020622</t>
  </si>
  <si>
    <t>刘鹏</t>
  </si>
  <si>
    <t>120224199907256670</t>
  </si>
  <si>
    <t>何鑫</t>
  </si>
  <si>
    <t>110224198804025830</t>
  </si>
  <si>
    <t>陈鑫鑫</t>
  </si>
  <si>
    <t>230121199808271040</t>
  </si>
  <si>
    <t>张潘丽</t>
  </si>
  <si>
    <t>330726199505050329</t>
  </si>
  <si>
    <t>段佳攀</t>
  </si>
  <si>
    <t>421223199511130022</t>
  </si>
  <si>
    <t>薛冬悦</t>
  </si>
  <si>
    <t>130302199101310411</t>
  </si>
  <si>
    <t>卢士欣</t>
  </si>
  <si>
    <t>130682199911027085</t>
  </si>
  <si>
    <t>于宏斌</t>
  </si>
  <si>
    <t>142226200205147430</t>
  </si>
  <si>
    <t>周昕</t>
  </si>
  <si>
    <t>350504200012191529</t>
  </si>
  <si>
    <t>许紫怡</t>
  </si>
  <si>
    <t>362323200208062528</t>
  </si>
  <si>
    <t>李一蒙</t>
  </si>
  <si>
    <t>372928200010010016</t>
  </si>
  <si>
    <t>冯俊磊</t>
  </si>
  <si>
    <t>412825199805203017</t>
  </si>
  <si>
    <t>陈龙</t>
  </si>
  <si>
    <t>131127198602104395</t>
  </si>
  <si>
    <t>龙江慧</t>
  </si>
  <si>
    <t>430224200004226866</t>
  </si>
  <si>
    <t>邢佳齐</t>
  </si>
  <si>
    <t>410721200206190528</t>
  </si>
  <si>
    <t>吴松</t>
  </si>
  <si>
    <t>131082199312094137</t>
  </si>
  <si>
    <t>简金岚</t>
  </si>
  <si>
    <t>411526199906027023</t>
  </si>
  <si>
    <t>刘宇轩</t>
  </si>
  <si>
    <t>232332199912051824</t>
  </si>
  <si>
    <t>蒋艳林</t>
  </si>
  <si>
    <t>413026199909013086</t>
  </si>
  <si>
    <t>王涛</t>
  </si>
  <si>
    <t>110103198904200037</t>
  </si>
  <si>
    <t>汪和艺</t>
  </si>
  <si>
    <t>340881197110130626</t>
  </si>
  <si>
    <t>一般劳务报酬所得</t>
  </si>
  <si>
    <t>汤修兰</t>
  </si>
  <si>
    <t>512224197105265300</t>
  </si>
  <si>
    <t>王丽花</t>
  </si>
  <si>
    <t>350500197206142522</t>
  </si>
  <si>
    <t>类型</t>
  </si>
  <si>
    <t>项目名称</t>
  </si>
  <si>
    <t>完成月份</t>
  </si>
  <si>
    <t>项目参与人员</t>
  </si>
  <si>
    <t>月工作日总天数
（天）</t>
  </si>
  <si>
    <t>月工作总工时
（按8小时/天）</t>
  </si>
  <si>
    <t>工时单价
（元）</t>
  </si>
  <si>
    <t>项目投入工时
（小时）</t>
  </si>
  <si>
    <t>项目人员经费合计</t>
  </si>
  <si>
    <t>项目工时占比
（%）</t>
  </si>
  <si>
    <t>大数据挖掘工时</t>
  </si>
  <si>
    <t>大数据挖掘人力成本</t>
  </si>
  <si>
    <t>其他人力成本</t>
  </si>
  <si>
    <t>纳税人识别号</t>
  </si>
  <si>
    <t>协定减免</t>
  </si>
  <si>
    <t>1</t>
  </si>
  <si>
    <t>2</t>
  </si>
  <si>
    <t>3</t>
  </si>
  <si>
    <t>4</t>
  </si>
  <si>
    <t>5</t>
  </si>
  <si>
    <t>6</t>
  </si>
  <si>
    <t>7</t>
  </si>
  <si>
    <t>8</t>
  </si>
  <si>
    <t>9</t>
  </si>
  <si>
    <t>郭轶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</si>
  <si>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</si>
  <si>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</si>
  <si>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</si>
  <si>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</si>
  <si>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</si>
  <si>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</si>
  <si>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</si>
  <si>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</si>
  <si>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</si>
  <si>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</si>
  <si>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</si>
  <si>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</si>
  <si>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</si>
  <si>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</si>
  <si>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</si>
  <si>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</si>
  <si>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</si>
  <si>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</si>
  <si>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</si>
  <si>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</si>
  <si>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</si>
  <si>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</si>
  <si>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</si>
  <si>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</si>
  <si>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</si>
  <si>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</si>
  <si>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</si>
  <si>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</si>
  <si>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赵丛丛</t>
  </si>
  <si>
    <t>371481199910096108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</si>
  <si>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</si>
  <si>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</si>
  <si>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</si>
  <si>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</si>
  <si>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</si>
  <si>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</si>
  <si>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</si>
  <si>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</si>
  <si>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</si>
  <si>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</si>
  <si>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</si>
  <si>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</si>
  <si>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</si>
  <si>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</si>
  <si>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上年各月均有申报且全年收入不超过6万元</t>
  </si>
  <si>
    <t>52</t>
  </si>
  <si>
    <t>53</t>
  </si>
  <si>
    <t>陈柏强</t>
  </si>
  <si>
    <t>430321198203253513</t>
  </si>
  <si>
    <t>宋琪</t>
  </si>
  <si>
    <t>372928198901100293</t>
  </si>
  <si>
    <t>李诚</t>
  </si>
  <si>
    <t>110108198206225730</t>
  </si>
  <si>
    <t>阮敬</t>
  </si>
  <si>
    <t>452330197910110017</t>
  </si>
  <si>
    <t>刘毅婷</t>
  </si>
  <si>
    <t>362502198303250446</t>
  </si>
  <si>
    <t>节日</t>
  </si>
  <si>
    <t>日期</t>
  </si>
  <si>
    <t>说明</t>
  </si>
  <si>
    <t>补班日期</t>
  </si>
  <si>
    <t>元旦</t>
  </si>
  <si>
    <t>放假</t>
  </si>
  <si>
    <t>元旦补班</t>
  </si>
  <si>
    <t>春节补班</t>
  </si>
  <si>
    <t>春节</t>
  </si>
  <si>
    <t>放假（初一）</t>
  </si>
  <si>
    <t>劳动节补班</t>
  </si>
  <si>
    <t>放假（初二）</t>
  </si>
  <si>
    <t>国庆节补班</t>
  </si>
  <si>
    <t>放假（初三）</t>
  </si>
  <si>
    <t>放假（初四）</t>
  </si>
  <si>
    <t>放假（初五）</t>
  </si>
  <si>
    <t>放假（调休）</t>
  </si>
  <si>
    <t>清明节</t>
  </si>
  <si>
    <t>劳动节</t>
  </si>
  <si>
    <t>端午节</t>
  </si>
  <si>
    <t>中秋节</t>
  </si>
  <si>
    <t>国庆节</t>
  </si>
  <si>
    <t>编号</t>
  </si>
  <si>
    <t>员工账号</t>
  </si>
  <si>
    <t>员工账户开户行</t>
  </si>
  <si>
    <t>卡/折号</t>
  </si>
  <si>
    <t>证件类型</t>
  </si>
  <si>
    <t>工资金额</t>
  </si>
  <si>
    <t>明细1</t>
  </si>
  <si>
    <t>明细2</t>
  </si>
  <si>
    <t>输入项</t>
  </si>
  <si>
    <t>填写说明</t>
  </si>
  <si>
    <t>序号以阿拉伯数字按顺序填写即可。</t>
  </si>
  <si>
    <t>中文姓名请不要包含空格。</t>
  </si>
  <si>
    <t>收款人账号应为“6029”、“6210”等开头的北京银行账号。输入收款账号时应保证收款账号以文本形式输入，如果收款账号以科学计数法输入，将不能保证工资正确发放。</t>
  </si>
  <si>
    <t>身份证件类型请参照以下对应关系录入，输入数字代码或中文名称均可。1-身份证、2-户口本、3-护照、4-军人证、5-港澳台居民身份证、6-武警身份证、7-边民出入境通行证。</t>
  </si>
  <si>
    <t>身份证件号码身份证件号码应以文本格式输入。其中身份证件号码可以为15位或18位，护照证件号码中可输入英文，军人证号码中可输入中文。</t>
  </si>
  <si>
    <t>工资金额请以阿拉伯数字填写，不要使用公式计算，如果从其他表格计算结果中粘贴，请保证小数点后最多只有两位。</t>
  </si>
  <si>
    <t>工资明细</t>
  </si>
  <si>
    <t>EXCEL工资文件从第七列开始为工资明细。请您依次在每列第一行输入名细名目，以下各行只需依次输入对应的工资金额即可。</t>
  </si>
  <si>
    <t>特别说明：
1、系统将自动从上传的文件中第二行开始提取数值，第一行请不要录入工资信息；2、请确认输入的内容中不包含空格字符；
3、上传文件时如提示“输入的笔数与总笔数不符”，请使用“删除整行”删除最后一行后的若干行后重试；4、如提示输入的金额有误，请检查报销金额是否小数点后超过两位。</t>
  </si>
  <si>
    <t>*姓名</t>
  </si>
  <si>
    <t>*证件类型</t>
  </si>
  <si>
    <t>*证件号码</t>
  </si>
  <si>
    <t>*国籍(地区)</t>
  </si>
  <si>
    <t>*性别</t>
  </si>
  <si>
    <t>*出生日期</t>
  </si>
  <si>
    <t>是否高级专家</t>
  </si>
  <si>
    <t>*任职受雇从业类型</t>
  </si>
  <si>
    <t>其他情况说明</t>
  </si>
  <si>
    <t>入职年度就业情形</t>
  </si>
  <si>
    <t>手机号码</t>
  </si>
  <si>
    <t>任职受雇从业日期</t>
  </si>
  <si>
    <t>是否离职后补发工资</t>
  </si>
  <si>
    <t>补发税款所属月份</t>
  </si>
  <si>
    <t>是否残疾</t>
  </si>
  <si>
    <t>是否烈属</t>
  </si>
  <si>
    <t>是否孤老</t>
  </si>
  <si>
    <t>残疾证件类型</t>
  </si>
  <si>
    <t>残疾证号</t>
  </si>
  <si>
    <t>烈属证号</t>
  </si>
  <si>
    <t>是否扣除减除费用</t>
  </si>
  <si>
    <t>个人投资额</t>
  </si>
  <si>
    <t>个人投资比例(%)</t>
  </si>
  <si>
    <t>中文名</t>
  </si>
  <si>
    <t>涉税事由</t>
  </si>
  <si>
    <t>出生国家(地区)</t>
  </si>
  <si>
    <t>首次入境时间</t>
  </si>
  <si>
    <t>预计离境时间</t>
  </si>
  <si>
    <t>其他证件类型</t>
  </si>
  <si>
    <t>其他证件号码</t>
  </si>
  <si>
    <t>户籍所在地（省）</t>
  </si>
  <si>
    <t>户籍所在地（市）</t>
  </si>
  <si>
    <t>户籍所在地（区县）</t>
  </si>
  <si>
    <t>户籍所在地（详细地址）</t>
  </si>
  <si>
    <t>经常居住地（省）</t>
  </si>
  <si>
    <t>经常居住地（市）</t>
  </si>
  <si>
    <t>经常居住地（区县）</t>
  </si>
  <si>
    <t>经常居住地（详细地址）</t>
  </si>
  <si>
    <t>联系地址（省）</t>
  </si>
  <si>
    <t>联系地址（市）</t>
  </si>
  <si>
    <t>联系地址（区县）</t>
  </si>
  <si>
    <t>联系地址（详细地址）</t>
  </si>
  <si>
    <t>电子邮箱</t>
  </si>
  <si>
    <t>学历</t>
  </si>
  <si>
    <t>开户银行</t>
  </si>
  <si>
    <t>银行账号</t>
  </si>
  <si>
    <t>开户行省份</t>
  </si>
  <si>
    <t>雇员</t>
  </si>
  <si>
    <t>本期收入</t>
  </si>
  <si>
    <t>本期免税收入</t>
  </si>
  <si>
    <t>累计子女教育</t>
  </si>
  <si>
    <t>累计继续教育</t>
  </si>
  <si>
    <t>累计住房贷款利息</t>
  </si>
  <si>
    <t>累计住房租金</t>
  </si>
  <si>
    <t>累计赡养老人</t>
  </si>
  <si>
    <t>累计3岁以下婴幼儿照护</t>
  </si>
  <si>
    <t>企业(职业)年金</t>
  </si>
  <si>
    <t>校验1</t>
  </si>
  <si>
    <t>校验2</t>
  </si>
  <si>
    <t>校验3</t>
  </si>
  <si>
    <t>赔偿金</t>
  </si>
  <si>
    <t>*所得项目</t>
  </si>
  <si>
    <t>*收入</t>
  </si>
  <si>
    <t>*一次性补偿收入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</si>
</sst>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_([$€-2]* #,##0.00_);_([$€-2]* \(#,##0.00\);_([$€-2]* &quot;-&quot;??_)"/>
    <numFmt numFmtId="178" formatCode="0.00;[Red]0.00"/>
    <numFmt numFmtId="179" formatCode="0.00_);\(0.00\)"/>
    <numFmt numFmtId="180" formatCode="yyyy\-mm\-dd"/>
    <numFmt numFmtId="181" formatCode="yyyy\-mm"/>
    <numFmt numFmtId="182" formatCode="0.0000;[Red]0.0000"/>
    <numFmt numFmtId="183" formatCode="yyyy/mm/dd"/>
    <numFmt numFmtId="184" formatCode="0.00_);[Red]\(0.00\)"/>
    <numFmt numFmtId="185" formatCode="0.00_ "/>
    <numFmt numFmtId="186" formatCode="[$-409]yyyy\-mm\-dd;@"/>
    <numFmt numFmtId="187" formatCode="yyyy&quot;年&quot;m&quot;月&quot;;@"/>
    <numFmt numFmtId="188" formatCode="_ * #,##0_ ;_ * \-#,##0_ ;_ * &quot;-&quot;??_ ;_ @_ "/>
    <numFmt numFmtId="189" formatCode="yyyy/m/d;@"/>
  </numFmts>
  <fonts count="70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b/>
      <sz val="10"/>
      <color indexed="10"/>
      <name val="宋体"/>
      <charset val="134"/>
    </font>
    <font>
      <b/>
      <sz val="10"/>
      <color theme="0" tint="-0.5"/>
      <name val="宋体"/>
      <charset val="134"/>
    </font>
    <font>
      <sz val="10"/>
      <color theme="0" tint="-0.5"/>
      <name val="宋体"/>
      <charset val="134"/>
    </font>
    <font>
      <b/>
      <sz val="10"/>
      <color indexed="8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1"/>
      <name val="宋体"/>
      <charset val="0"/>
    </font>
    <font>
      <sz val="9"/>
      <color theme="1"/>
      <name val="微软雅黑"/>
      <charset val="134"/>
    </font>
    <font>
      <sz val="10"/>
      <name val="Arial"/>
      <charset val="0"/>
    </font>
    <font>
      <sz val="12"/>
      <color indexed="10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1.25"/>
      <color theme="1"/>
      <name val="Segoe UI"/>
      <charset val="134"/>
    </font>
    <font>
      <sz val="11"/>
      <color indexed="8"/>
      <name val="宋体"/>
      <charset val="134"/>
    </font>
    <font>
      <sz val="7.5"/>
      <color indexed="8"/>
      <name val="宋体"/>
      <charset val="134"/>
    </font>
    <font>
      <sz val="10"/>
      <color theme="1"/>
      <name val="宋体"/>
      <charset val="134"/>
      <scheme val="minor"/>
    </font>
    <font>
      <sz val="7.5"/>
      <color rgb="FFFF0000"/>
      <name val="宋体"/>
      <charset val="134"/>
    </font>
    <font>
      <sz val="11"/>
      <color theme="1"/>
      <name val="等线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Arial"/>
      <charset val="134"/>
    </font>
    <font>
      <sz val="10"/>
      <name val="微软雅黑"/>
      <charset val="134"/>
    </font>
    <font>
      <sz val="11"/>
      <color rgb="FF000000"/>
      <name val="微软雅黑"/>
      <charset val="134"/>
    </font>
    <font>
      <sz val="10"/>
      <color theme="1"/>
      <name val="微软雅黑"/>
      <charset val="134"/>
    </font>
    <font>
      <b/>
      <sz val="11"/>
      <name val="Microsoft YaHei"/>
      <charset val="134"/>
    </font>
    <font>
      <b/>
      <sz val="10"/>
      <name val="微软雅黑"/>
      <charset val="134"/>
    </font>
    <font>
      <sz val="10"/>
      <color rgb="FFFF0000"/>
      <name val="微软雅黑"/>
      <charset val="134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color theme="0" tint="-0.35"/>
      <name val="宋体"/>
      <charset val="134"/>
      <scheme val="minor"/>
    </font>
    <font>
      <b/>
      <sz val="12"/>
      <name val="新宋体"/>
      <charset val="134"/>
    </font>
    <font>
      <b/>
      <sz val="12"/>
      <color theme="0" tint="-0.25"/>
      <name val="新宋体"/>
      <charset val="134"/>
    </font>
    <font>
      <b/>
      <sz val="12"/>
      <color indexed="8"/>
      <name val="新宋体"/>
      <charset val="134"/>
    </font>
    <font>
      <b/>
      <sz val="12"/>
      <color theme="1"/>
      <name val="宋体"/>
      <charset val="134"/>
      <scheme val="minor"/>
    </font>
    <font>
      <b/>
      <sz val="12"/>
      <name val="宋体"/>
      <charset val="134"/>
    </font>
    <font>
      <b/>
      <sz val="9"/>
      <name val="宋体"/>
      <charset val="134"/>
    </font>
    <font>
      <b/>
      <sz val="9"/>
      <color theme="1"/>
      <name val="宋体"/>
      <charset val="134"/>
    </font>
    <font>
      <sz val="9"/>
      <name val="宋体"/>
      <charset val="134"/>
    </font>
    <font>
      <b/>
      <sz val="9"/>
      <color rgb="FFFF0000"/>
      <name val="宋体"/>
      <charset val="134"/>
    </font>
    <font>
      <b/>
      <sz val="14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黑体"/>
      <charset val="134"/>
    </font>
    <font>
      <sz val="10"/>
      <color theme="1"/>
      <name val="MicrosoftYaHei"/>
      <charset val="134"/>
    </font>
    <font>
      <sz val="1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19" borderId="18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20" borderId="21" applyNumberFormat="0" applyAlignment="0" applyProtection="0">
      <alignment vertical="center"/>
    </xf>
    <xf numFmtId="0" fontId="55" fillId="21" borderId="22" applyNumberFormat="0" applyAlignment="0" applyProtection="0">
      <alignment vertical="center"/>
    </xf>
    <xf numFmtId="0" fontId="56" fillId="21" borderId="21" applyNumberFormat="0" applyAlignment="0" applyProtection="0">
      <alignment vertical="center"/>
    </xf>
    <xf numFmtId="0" fontId="57" fillId="22" borderId="23" applyNumberForma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25" applyNumberFormat="0" applyFill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3" fillId="26" borderId="0" applyNumberFormat="0" applyBorder="0" applyAlignment="0" applyProtection="0">
      <alignment vertical="center"/>
    </xf>
    <xf numFmtId="0" fontId="64" fillId="2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64" fillId="39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3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5" fillId="49" borderId="0">
      <alignment horizontal="left" vertical="center"/>
    </xf>
    <xf numFmtId="176" fontId="8" fillId="0" borderId="0"/>
    <xf numFmtId="0" fontId="66" fillId="0" borderId="0">
      <alignment vertical="center"/>
    </xf>
    <xf numFmtId="0" fontId="8" fillId="0" borderId="0">
      <alignment vertical="center"/>
    </xf>
    <xf numFmtId="177" fontId="8" fillId="0" borderId="0">
      <alignment vertical="center"/>
    </xf>
    <xf numFmtId="0" fontId="0" fillId="0" borderId="0">
      <alignment vertical="center"/>
    </xf>
    <xf numFmtId="177" fontId="0" fillId="0" borderId="0">
      <alignment vertical="center"/>
    </xf>
    <xf numFmtId="0" fontId="8" fillId="0" borderId="0"/>
    <xf numFmtId="177" fontId="67" fillId="0" borderId="0"/>
    <xf numFmtId="43" fontId="8" fillId="0" borderId="0" applyFont="0" applyFill="0" applyBorder="0" applyAlignment="0" applyProtection="0"/>
  </cellStyleXfs>
  <cellXfs count="224">
    <xf numFmtId="176" fontId="0" fillId="0" borderId="0" xfId="0"/>
    <xf numFmtId="0" fontId="1" fillId="0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178" fontId="1" fillId="0" borderId="0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center" vertical="center" wrapText="1"/>
    </xf>
    <xf numFmtId="178" fontId="4" fillId="2" borderId="0" xfId="0" applyNumberFormat="1" applyFont="1" applyFill="1" applyBorder="1" applyAlignment="1">
      <alignment horizontal="center" vertical="center" wrapText="1"/>
    </xf>
    <xf numFmtId="178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179" fontId="1" fillId="0" borderId="0" xfId="0" applyNumberFormat="1" applyFont="1" applyFill="1" applyBorder="1" applyAlignment="1">
      <alignment horizontal="center" vertical="center"/>
    </xf>
    <xf numFmtId="179" fontId="1" fillId="3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179" fontId="2" fillId="2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179" fontId="2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vertical="center"/>
      <protection locked="0"/>
    </xf>
    <xf numFmtId="49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18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181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4" borderId="0" xfId="0" applyNumberFormat="1" applyFont="1" applyFill="1" applyBorder="1" applyAlignment="1" applyProtection="1">
      <alignment horizontal="center" vertical="center" wrapText="1"/>
      <protection locked="0"/>
    </xf>
    <xf numFmtId="178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182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0" xfId="0" applyNumberFormat="1" applyFont="1" applyFill="1" applyBorder="1" applyAlignment="1" applyProtection="1">
      <alignment vertical="center" wrapText="1"/>
      <protection locked="0"/>
    </xf>
    <xf numFmtId="49" fontId="2" fillId="5" borderId="0" xfId="0" applyNumberFormat="1" applyFont="1" applyFill="1" applyBorder="1" applyAlignment="1" applyProtection="1">
      <alignment horizontal="center" vertical="center" wrapText="1"/>
    </xf>
    <xf numFmtId="49" fontId="4" fillId="5" borderId="0" xfId="0" applyNumberFormat="1" applyFont="1" applyFill="1" applyBorder="1" applyAlignment="1" applyProtection="1">
      <alignment horizontal="center" vertical="center" wrapText="1"/>
    </xf>
    <xf numFmtId="0" fontId="4" fillId="5" borderId="0" xfId="0" applyNumberFormat="1" applyFont="1" applyFill="1" applyBorder="1" applyAlignment="1" applyProtection="1">
      <alignment horizontal="center" vertical="center" wrapText="1"/>
    </xf>
    <xf numFmtId="180" fontId="4" fillId="5" borderId="0" xfId="0" applyNumberFormat="1" applyFont="1" applyFill="1" applyBorder="1" applyAlignment="1" applyProtection="1">
      <alignment horizontal="center" vertical="center" wrapText="1"/>
    </xf>
    <xf numFmtId="183" fontId="4" fillId="5" borderId="0" xfId="0" applyNumberFormat="1" applyFont="1" applyFill="1" applyBorder="1" applyAlignment="1" applyProtection="1">
      <alignment horizontal="center" vertical="center" wrapText="1"/>
    </xf>
    <xf numFmtId="14" fontId="7" fillId="5" borderId="0" xfId="0" applyNumberFormat="1" applyFont="1" applyFill="1" applyBorder="1" applyAlignment="1" applyProtection="1">
      <alignment horizontal="center" vertical="center" wrapText="1"/>
    </xf>
    <xf numFmtId="49" fontId="7" fillId="5" borderId="0" xfId="0" applyNumberFormat="1" applyFont="1" applyFill="1" applyBorder="1" applyAlignment="1" applyProtection="1">
      <alignment horizontal="center" vertical="center" wrapText="1"/>
    </xf>
    <xf numFmtId="49" fontId="2" fillId="5" borderId="0" xfId="0" applyNumberFormat="1" applyFont="1" applyFill="1" applyBorder="1" applyAlignment="1">
      <alignment horizontal="center" vertical="center" wrapText="1"/>
    </xf>
    <xf numFmtId="178" fontId="2" fillId="5" borderId="0" xfId="0" applyNumberFormat="1" applyFont="1" applyFill="1" applyBorder="1" applyAlignment="1" applyProtection="1">
      <alignment horizontal="center" vertical="center" wrapText="1"/>
    </xf>
    <xf numFmtId="182" fontId="2" fillId="5" borderId="0" xfId="0" applyNumberFormat="1" applyFont="1" applyFill="1" applyBorder="1" applyAlignment="1" applyProtection="1">
      <alignment horizontal="center" vertical="center" wrapText="1"/>
    </xf>
    <xf numFmtId="180" fontId="2" fillId="5" borderId="0" xfId="0" applyNumberFormat="1" applyFont="1" applyFill="1" applyBorder="1" applyAlignment="1" applyProtection="1">
      <alignment horizontal="center" vertical="center" wrapText="1"/>
    </xf>
    <xf numFmtId="0" fontId="8" fillId="0" borderId="0" xfId="50" applyNumberFormat="1" applyFill="1" applyAlignment="1">
      <alignment vertical="center"/>
    </xf>
    <xf numFmtId="0" fontId="9" fillId="0" borderId="0" xfId="0" applyNumberFormat="1" applyFont="1" applyFill="1" applyBorder="1" applyAlignment="1"/>
    <xf numFmtId="49" fontId="9" fillId="0" borderId="0" xfId="0" applyNumberFormat="1" applyFont="1" applyFill="1" applyBorder="1" applyAlignment="1"/>
    <xf numFmtId="0" fontId="9" fillId="0" borderId="0" xfId="0" applyNumberFormat="1" applyFont="1" applyFill="1" applyBorder="1" applyAlignment="1">
      <alignment horizontal="center"/>
    </xf>
    <xf numFmtId="184" fontId="9" fillId="0" borderId="0" xfId="0" applyNumberFormat="1" applyFont="1" applyFill="1" applyBorder="1" applyAlignment="1"/>
    <xf numFmtId="0" fontId="10" fillId="0" borderId="0" xfId="0" applyNumberFormat="1" applyFont="1" applyFill="1" applyBorder="1" applyAlignment="1"/>
    <xf numFmtId="0" fontId="8" fillId="0" borderId="1" xfId="50" applyNumberFormat="1" applyFill="1" applyBorder="1" applyAlignment="1">
      <alignment horizontal="center" vertical="center"/>
    </xf>
    <xf numFmtId="49" fontId="8" fillId="0" borderId="1" xfId="50" applyNumberFormat="1" applyFill="1" applyBorder="1" applyAlignment="1">
      <alignment horizontal="center" vertical="center"/>
    </xf>
    <xf numFmtId="0" fontId="8" fillId="0" borderId="1" xfId="50" applyNumberFormat="1" applyFill="1" applyBorder="1" applyAlignment="1">
      <alignment vertical="center"/>
    </xf>
    <xf numFmtId="184" fontId="11" fillId="0" borderId="1" xfId="50" applyNumberFormat="1" applyFont="1" applyFill="1" applyBorder="1" applyAlignment="1">
      <alignment horizontal="center" vertical="center" shrinkToFit="1"/>
    </xf>
    <xf numFmtId="49" fontId="11" fillId="0" borderId="1" xfId="50" applyNumberFormat="1" applyFont="1" applyFill="1" applyBorder="1" applyAlignment="1">
      <alignment horizontal="center" vertical="center" shrinkToFit="1"/>
    </xf>
    <xf numFmtId="0" fontId="11" fillId="0" borderId="1" xfId="50" applyNumberFormat="1" applyFont="1" applyFill="1" applyBorder="1" applyAlignment="1">
      <alignment horizontal="center" vertical="center" shrinkToFit="1"/>
    </xf>
    <xf numFmtId="49" fontId="8" fillId="0" borderId="1" xfId="50" applyNumberFormat="1" applyFill="1" applyBorder="1" applyAlignment="1">
      <alignment vertical="center"/>
    </xf>
    <xf numFmtId="0" fontId="12" fillId="6" borderId="2" xfId="0" applyNumberFormat="1" applyFont="1" applyFill="1" applyBorder="1" applyAlignment="1">
      <alignment horizontal="center" vertical="center"/>
    </xf>
    <xf numFmtId="0" fontId="12" fillId="6" borderId="3" xfId="0" applyNumberFormat="1" applyFont="1" applyFill="1" applyBorder="1" applyAlignment="1">
      <alignment horizontal="center" vertical="center"/>
    </xf>
    <xf numFmtId="0" fontId="12" fillId="6" borderId="0" xfId="0" applyNumberFormat="1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vertical="center"/>
    </xf>
    <xf numFmtId="0" fontId="12" fillId="0" borderId="3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Border="1" applyAlignment="1">
      <alignment horizontal="left" vertical="top" wrapText="1"/>
    </xf>
    <xf numFmtId="0" fontId="13" fillId="0" borderId="0" xfId="0" applyNumberFormat="1" applyFont="1" applyFill="1" applyBorder="1" applyAlignment="1">
      <alignment horizontal="left" vertical="center" wrapText="1"/>
    </xf>
    <xf numFmtId="0" fontId="13" fillId="0" borderId="0" xfId="0" applyNumberFormat="1" applyFont="1" applyFill="1" applyBorder="1" applyAlignment="1">
      <alignment vertical="center" wrapText="1"/>
    </xf>
    <xf numFmtId="49" fontId="13" fillId="0" borderId="0" xfId="0" applyNumberFormat="1" applyFont="1" applyFill="1" applyBorder="1" applyAlignment="1">
      <alignment vertical="center" wrapText="1"/>
    </xf>
    <xf numFmtId="185" fontId="9" fillId="0" borderId="0" xfId="50" applyNumberFormat="1" applyFont="1" applyFill="1" applyBorder="1" applyAlignment="1">
      <alignment horizontal="center" shrinkToFit="1"/>
    </xf>
    <xf numFmtId="0" fontId="9" fillId="0" borderId="0" xfId="50" applyNumberFormat="1" applyFont="1" applyFill="1" applyBorder="1" applyAlignment="1">
      <alignment horizontal="center" shrinkToFit="1"/>
    </xf>
    <xf numFmtId="0" fontId="14" fillId="0" borderId="0" xfId="0" applyNumberFormat="1" applyFont="1" applyFill="1" applyBorder="1" applyAlignment="1"/>
    <xf numFmtId="184" fontId="10" fillId="0" borderId="0" xfId="0" applyNumberFormat="1" applyFont="1" applyFill="1" applyBorder="1" applyAlignment="1"/>
    <xf numFmtId="0" fontId="15" fillId="0" borderId="0" xfId="0" applyNumberFormat="1" applyFont="1" applyFill="1" applyBorder="1" applyAlignment="1"/>
    <xf numFmtId="0" fontId="15" fillId="0" borderId="0" xfId="0" applyNumberFormat="1" applyFont="1" applyFill="1" applyBorder="1" applyAlignment="1">
      <alignment horizontal="left"/>
    </xf>
    <xf numFmtId="49" fontId="15" fillId="0" borderId="0" xfId="0" applyNumberFormat="1" applyFont="1" applyFill="1" applyBorder="1" applyAlignment="1">
      <alignment horizontal="left"/>
    </xf>
    <xf numFmtId="0" fontId="15" fillId="0" borderId="0" xfId="0" applyNumberFormat="1" applyFont="1" applyFill="1" applyBorder="1" applyAlignment="1">
      <alignment horizontal="center"/>
    </xf>
    <xf numFmtId="49" fontId="15" fillId="0" borderId="0" xfId="0" applyNumberFormat="1" applyFont="1" applyFill="1" applyBorder="1" applyAlignment="1">
      <alignment horizontal="left" wrapText="1"/>
    </xf>
    <xf numFmtId="0" fontId="15" fillId="0" borderId="0" xfId="0" applyNumberFormat="1" applyFont="1" applyFill="1" applyBorder="1" applyAlignment="1">
      <alignment horizontal="left" wrapText="1"/>
    </xf>
    <xf numFmtId="0" fontId="15" fillId="0" borderId="0" xfId="0" applyNumberFormat="1" applyFont="1" applyFill="1" applyBorder="1" applyAlignment="1">
      <alignment horizontal="center" wrapText="1"/>
    </xf>
    <xf numFmtId="176" fontId="0" fillId="0" borderId="1" xfId="0" applyBorder="1"/>
    <xf numFmtId="186" fontId="0" fillId="0" borderId="1" xfId="0" applyNumberFormat="1" applyBorder="1" applyAlignment="1">
      <alignment horizontal="center"/>
    </xf>
    <xf numFmtId="176" fontId="0" fillId="0" borderId="0" xfId="0" applyNumberFormat="1"/>
    <xf numFmtId="186" fontId="16" fillId="0" borderId="1" xfId="0" applyNumberFormat="1" applyFont="1" applyBorder="1" applyAlignment="1">
      <alignment horizontal="center" wrapText="1"/>
    </xf>
    <xf numFmtId="176" fontId="16" fillId="0" borderId="1" xfId="0" applyFont="1" applyBorder="1" applyAlignment="1">
      <alignment horizontal="left" wrapText="1"/>
    </xf>
    <xf numFmtId="176" fontId="0" fillId="0" borderId="1" xfId="0" applyNumberFormat="1" applyBorder="1"/>
    <xf numFmtId="186" fontId="0" fillId="0" borderId="0" xfId="0" applyNumberFormat="1" applyAlignment="1">
      <alignment horizontal="center"/>
    </xf>
    <xf numFmtId="0" fontId="17" fillId="0" borderId="0" xfId="0" applyNumberFormat="1" applyFont="1" applyFill="1" applyBorder="1" applyAlignment="1"/>
    <xf numFmtId="0" fontId="18" fillId="7" borderId="5" xfId="0" applyNumberFormat="1" applyFont="1" applyFill="1" applyBorder="1" applyAlignment="1">
      <alignment horizontal="center" vertical="center" wrapText="1"/>
    </xf>
    <xf numFmtId="0" fontId="18" fillId="7" borderId="6" xfId="0" applyNumberFormat="1" applyFont="1" applyFill="1" applyBorder="1" applyAlignment="1">
      <alignment horizontal="center" vertical="center" wrapText="1"/>
    </xf>
    <xf numFmtId="0" fontId="18" fillId="7" borderId="5" xfId="0" applyNumberFormat="1" applyFont="1" applyFill="1" applyBorder="1" applyAlignment="1">
      <alignment horizontal="justify" vertical="center" wrapText="1"/>
    </xf>
    <xf numFmtId="0" fontId="18" fillId="7" borderId="7" xfId="0" applyNumberFormat="1" applyFont="1" applyFill="1" applyBorder="1" applyAlignment="1">
      <alignment horizontal="center" vertical="center" wrapText="1"/>
    </xf>
    <xf numFmtId="49" fontId="18" fillId="0" borderId="5" xfId="0" applyNumberFormat="1" applyFont="1" applyFill="1" applyBorder="1" applyAlignment="1">
      <alignment horizontal="center" vertical="center" wrapText="1"/>
    </xf>
    <xf numFmtId="49" fontId="18" fillId="0" borderId="5" xfId="0" applyNumberFormat="1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19" fillId="0" borderId="1" xfId="0" applyNumberFormat="1" applyFont="1" applyFill="1" applyBorder="1" applyAlignment="1">
      <alignment horizontal="center" vertical="center" wrapText="1"/>
    </xf>
    <xf numFmtId="187" fontId="19" fillId="0" borderId="1" xfId="0" applyNumberFormat="1" applyFont="1" applyFill="1" applyBorder="1" applyAlignment="1">
      <alignment horizontal="center" vertical="center" wrapText="1"/>
    </xf>
    <xf numFmtId="0" fontId="19" fillId="0" borderId="1" xfId="1" applyNumberFormat="1" applyFont="1" applyFill="1" applyBorder="1" applyAlignment="1" applyProtection="1">
      <alignment horizontal="center" vertical="center" wrapText="1"/>
    </xf>
    <xf numFmtId="43" fontId="19" fillId="0" borderId="1" xfId="0" applyNumberFormat="1" applyFont="1" applyFill="1" applyBorder="1" applyAlignment="1">
      <alignment horizontal="center" vertical="center" wrapText="1"/>
    </xf>
    <xf numFmtId="0" fontId="19" fillId="0" borderId="1" xfId="1" applyNumberFormat="1" applyFont="1" applyFill="1" applyBorder="1" applyAlignment="1" applyProtection="1">
      <alignment horizontal="left" vertical="center" wrapText="1"/>
    </xf>
    <xf numFmtId="9" fontId="19" fillId="0" borderId="1" xfId="3" applyFont="1" applyFill="1" applyBorder="1" applyAlignment="1" applyProtection="1">
      <alignment horizontal="center" vertical="center" wrapText="1"/>
    </xf>
    <xf numFmtId="0" fontId="19" fillId="0" borderId="1" xfId="3" applyNumberFormat="1" applyFont="1" applyFill="1" applyBorder="1" applyAlignment="1" applyProtection="1">
      <alignment horizontal="center" vertical="center" wrapText="1"/>
    </xf>
    <xf numFmtId="0" fontId="0" fillId="8" borderId="1" xfId="0" applyNumberForma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0" fontId="20" fillId="7" borderId="5" xfId="0" applyNumberFormat="1" applyFont="1" applyFill="1" applyBorder="1" applyAlignment="1">
      <alignment horizontal="center" vertical="center" wrapText="1"/>
    </xf>
    <xf numFmtId="0" fontId="18" fillId="9" borderId="5" xfId="0" applyNumberFormat="1" applyFont="1" applyFill="1" applyBorder="1" applyAlignment="1">
      <alignment horizontal="center" vertical="center" wrapText="1"/>
    </xf>
    <xf numFmtId="0" fontId="20" fillId="7" borderId="6" xfId="0" applyNumberFormat="1" applyFont="1" applyFill="1" applyBorder="1" applyAlignment="1">
      <alignment horizontal="center" vertical="center" wrapText="1"/>
    </xf>
    <xf numFmtId="0" fontId="18" fillId="8" borderId="5" xfId="0" applyNumberFormat="1" applyFont="1" applyFill="1" applyBorder="1" applyAlignment="1">
      <alignment horizontal="center" vertical="center" wrapText="1"/>
    </xf>
    <xf numFmtId="0" fontId="18" fillId="9" borderId="6" xfId="0" applyNumberFormat="1" applyFont="1" applyFill="1" applyBorder="1" applyAlignment="1">
      <alignment horizontal="center" vertical="center" wrapText="1"/>
    </xf>
    <xf numFmtId="0" fontId="20" fillId="7" borderId="7" xfId="0" applyNumberFormat="1" applyFont="1" applyFill="1" applyBorder="1" applyAlignment="1">
      <alignment horizontal="center" vertical="center" wrapText="1"/>
    </xf>
    <xf numFmtId="0" fontId="18" fillId="9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21" fillId="10" borderId="0" xfId="0" applyNumberFormat="1" applyFont="1" applyFill="1" applyAlignment="1"/>
    <xf numFmtId="0" fontId="21" fillId="10" borderId="0" xfId="0" applyNumberFormat="1" applyFont="1" applyFill="1" applyAlignment="1">
      <alignment wrapText="1"/>
    </xf>
    <xf numFmtId="176" fontId="22" fillId="0" borderId="1" xfId="0" applyFont="1" applyBorder="1"/>
    <xf numFmtId="0" fontId="22" fillId="0" borderId="1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19" fillId="0" borderId="0" xfId="0" applyNumberFormat="1" applyFont="1" applyFill="1" applyBorder="1"/>
    <xf numFmtId="0" fontId="0" fillId="0" borderId="0" xfId="0" applyNumberFormat="1" applyFill="1" applyBorder="1" applyProtection="1">
      <protection locked="0"/>
    </xf>
    <xf numFmtId="0" fontId="0" fillId="0" borderId="0" xfId="0" applyNumberFormat="1" applyFill="1" applyBorder="1"/>
    <xf numFmtId="0" fontId="0" fillId="0" borderId="0" xfId="0" applyNumberFormat="1" applyFill="1" applyBorder="1" applyAlignment="1">
      <alignment horizontal="center"/>
    </xf>
    <xf numFmtId="0" fontId="23" fillId="0" borderId="1" xfId="52" applyFont="1" applyFill="1" applyBorder="1" applyAlignment="1" applyProtection="1">
      <alignment horizontal="center" vertical="center" wrapText="1"/>
      <protection locked="0"/>
    </xf>
    <xf numFmtId="0" fontId="23" fillId="0" borderId="1" xfId="52" applyFont="1" applyFill="1" applyBorder="1" applyAlignment="1">
      <alignment horizontal="center" vertical="center" wrapText="1"/>
    </xf>
    <xf numFmtId="49" fontId="23" fillId="0" borderId="1" xfId="52" applyNumberFormat="1" applyFont="1" applyFill="1" applyBorder="1" applyAlignment="1">
      <alignment horizontal="center" vertical="center" wrapText="1"/>
    </xf>
    <xf numFmtId="0" fontId="24" fillId="0" borderId="1" xfId="52" applyFont="1" applyFill="1" applyBorder="1" applyAlignment="1">
      <alignment horizontal="center" vertical="center" wrapText="1"/>
    </xf>
    <xf numFmtId="0" fontId="1" fillId="0" borderId="0" xfId="56" applyFont="1" applyFill="1" applyBorder="1"/>
    <xf numFmtId="0" fontId="24" fillId="0" borderId="1" xfId="52" applyFont="1" applyFill="1" applyBorder="1" applyAlignment="1" applyProtection="1">
      <alignment horizontal="center" vertical="center" wrapText="1"/>
      <protection locked="0"/>
    </xf>
    <xf numFmtId="49" fontId="24" fillId="0" borderId="1" xfId="52" applyNumberFormat="1" applyFont="1" applyFill="1" applyBorder="1" applyAlignment="1">
      <alignment horizontal="center" vertical="center" wrapText="1"/>
    </xf>
    <xf numFmtId="0" fontId="23" fillId="0" borderId="1" xfId="54" applyFont="1" applyFill="1" applyBorder="1" applyAlignment="1">
      <alignment horizontal="center" vertical="center" wrapText="1"/>
    </xf>
    <xf numFmtId="0" fontId="25" fillId="0" borderId="0" xfId="0" applyNumberFormat="1" applyFont="1" applyFill="1" applyAlignment="1">
      <alignment vertical="center"/>
    </xf>
    <xf numFmtId="0" fontId="26" fillId="0" borderId="0" xfId="0" applyNumberFormat="1" applyFont="1" applyFill="1" applyBorder="1" applyAlignment="1">
      <alignment horizontal="center" vertical="center" wrapText="1"/>
    </xf>
    <xf numFmtId="49" fontId="27" fillId="0" borderId="0" xfId="0" applyNumberFormat="1" applyFont="1" applyFill="1" applyAlignment="1">
      <alignment horizontal="center" vertical="center"/>
    </xf>
    <xf numFmtId="0" fontId="27" fillId="0" borderId="0" xfId="0" applyNumberFormat="1" applyFont="1" applyFill="1" applyAlignment="1">
      <alignment horizontal="center" vertical="center"/>
    </xf>
    <xf numFmtId="14" fontId="27" fillId="0" borderId="0" xfId="0" applyNumberFormat="1" applyFont="1" applyFill="1" applyAlignment="1">
      <alignment horizontal="center" vertical="center"/>
    </xf>
    <xf numFmtId="0" fontId="11" fillId="0" borderId="0" xfId="0" applyNumberFormat="1" applyFont="1" applyFill="1" applyAlignment="1">
      <alignment vertical="center"/>
    </xf>
    <xf numFmtId="188" fontId="27" fillId="0" borderId="0" xfId="1" applyNumberFormat="1" applyFont="1" applyFill="1">
      <alignment vertical="center"/>
    </xf>
    <xf numFmtId="0" fontId="27" fillId="0" borderId="0" xfId="0" applyNumberFormat="1" applyFont="1" applyFill="1" applyAlignment="1">
      <alignment vertical="center"/>
    </xf>
    <xf numFmtId="185" fontId="27" fillId="0" borderId="0" xfId="0" applyNumberFormat="1" applyFont="1" applyFill="1" applyAlignment="1">
      <alignment vertical="center"/>
    </xf>
    <xf numFmtId="0" fontId="28" fillId="0" borderId="1" xfId="0" applyNumberFormat="1" applyFont="1" applyFill="1" applyBorder="1" applyAlignment="1" applyProtection="1">
      <alignment horizontal="center" vertical="center" wrapText="1"/>
    </xf>
    <xf numFmtId="49" fontId="28" fillId="0" borderId="1" xfId="0" applyNumberFormat="1" applyFont="1" applyFill="1" applyBorder="1" applyAlignment="1" applyProtection="1">
      <alignment horizontal="center" vertical="center" wrapText="1"/>
    </xf>
    <xf numFmtId="14" fontId="28" fillId="0" borderId="1" xfId="0" applyNumberFormat="1" applyFont="1" applyFill="1" applyBorder="1" applyAlignment="1" applyProtection="1">
      <alignment horizontal="center" vertical="center" wrapText="1"/>
    </xf>
    <xf numFmtId="0" fontId="29" fillId="0" borderId="1" xfId="0" applyNumberFormat="1" applyFont="1" applyFill="1" applyBorder="1" applyAlignment="1" applyProtection="1">
      <alignment vertical="center"/>
    </xf>
    <xf numFmtId="188" fontId="28" fillId="0" borderId="1" xfId="1" applyNumberFormat="1" applyFont="1" applyFill="1" applyBorder="1" applyAlignment="1" applyProtection="1">
      <alignment horizontal="center" vertical="center" wrapText="1"/>
    </xf>
    <xf numFmtId="185" fontId="25" fillId="0" borderId="1" xfId="0" applyNumberFormat="1" applyFont="1" applyFill="1" applyBorder="1" applyAlignment="1">
      <alignment vertical="center"/>
    </xf>
    <xf numFmtId="0" fontId="25" fillId="0" borderId="1" xfId="0" applyNumberFormat="1" applyFont="1" applyFill="1" applyBorder="1" applyAlignment="1">
      <alignment vertical="center"/>
    </xf>
    <xf numFmtId="49" fontId="30" fillId="0" borderId="0" xfId="0" applyNumberFormat="1" applyFont="1" applyFill="1" applyAlignment="1">
      <alignment horizontal="left" vertical="center" wrapText="1"/>
    </xf>
    <xf numFmtId="49" fontId="0" fillId="0" borderId="0" xfId="0" applyNumberFormat="1"/>
    <xf numFmtId="185" fontId="0" fillId="0" borderId="0" xfId="0" applyNumberFormat="1"/>
    <xf numFmtId="0" fontId="22" fillId="0" borderId="1" xfId="0" applyNumberFormat="1" applyFont="1" applyBorder="1"/>
    <xf numFmtId="49" fontId="22" fillId="0" borderId="1" xfId="0" applyNumberFormat="1" applyFont="1" applyBorder="1"/>
    <xf numFmtId="185" fontId="22" fillId="0" borderId="1" xfId="0" applyNumberFormat="1" applyFont="1" applyBorder="1"/>
    <xf numFmtId="0" fontId="31" fillId="0" borderId="0" xfId="0" applyNumberFormat="1" applyFont="1" applyFill="1" applyBorder="1" applyAlignment="1">
      <alignment vertical="center"/>
    </xf>
    <xf numFmtId="0" fontId="32" fillId="0" borderId="0" xfId="0" applyNumberFormat="1" applyFont="1" applyFill="1" applyBorder="1" applyAlignment="1">
      <alignment horizontal="center" vertical="center"/>
    </xf>
    <xf numFmtId="189" fontId="32" fillId="0" borderId="0" xfId="0" applyNumberFormat="1" applyFont="1" applyFill="1" applyBorder="1" applyAlignment="1">
      <alignment horizontal="center" vertical="center"/>
    </xf>
    <xf numFmtId="0" fontId="33" fillId="0" borderId="0" xfId="0" applyNumberFormat="1" applyFont="1" applyFill="1" applyBorder="1" applyAlignment="1">
      <alignment vertical="center"/>
    </xf>
    <xf numFmtId="14" fontId="32" fillId="0" borderId="0" xfId="0" applyNumberFormat="1" applyFont="1" applyFill="1" applyBorder="1" applyAlignment="1">
      <alignment horizontal="center" vertical="center"/>
    </xf>
    <xf numFmtId="0" fontId="31" fillId="0" borderId="1" xfId="0" applyNumberFormat="1" applyFont="1" applyFill="1" applyBorder="1" applyAlignment="1">
      <alignment vertical="center"/>
    </xf>
    <xf numFmtId="0" fontId="34" fillId="0" borderId="1" xfId="0" applyNumberFormat="1" applyFont="1" applyFill="1" applyBorder="1" applyAlignment="1">
      <alignment horizontal="center" vertical="center" wrapText="1"/>
    </xf>
    <xf numFmtId="0" fontId="34" fillId="11" borderId="1" xfId="0" applyNumberFormat="1" applyFont="1" applyFill="1" applyBorder="1" applyAlignment="1">
      <alignment horizontal="center" vertical="center" wrapText="1"/>
    </xf>
    <xf numFmtId="189" fontId="34" fillId="11" borderId="1" xfId="0" applyNumberFormat="1" applyFont="1" applyFill="1" applyBorder="1" applyAlignment="1">
      <alignment horizontal="center" vertical="center" wrapText="1"/>
    </xf>
    <xf numFmtId="0" fontId="34" fillId="12" borderId="1" xfId="0" applyNumberFormat="1" applyFont="1" applyFill="1" applyBorder="1" applyAlignment="1">
      <alignment horizontal="center" vertical="center" wrapText="1"/>
    </xf>
    <xf numFmtId="0" fontId="35" fillId="11" borderId="1" xfId="0" applyNumberFormat="1" applyFont="1" applyFill="1" applyBorder="1" applyAlignment="1">
      <alignment horizontal="center" vertical="center" wrapText="1"/>
    </xf>
    <xf numFmtId="0" fontId="36" fillId="11" borderId="1" xfId="0" applyNumberFormat="1" applyFont="1" applyFill="1" applyBorder="1" applyAlignment="1">
      <alignment horizontal="center" vertical="center" wrapText="1"/>
    </xf>
    <xf numFmtId="0" fontId="36" fillId="8" borderId="1" xfId="0" applyNumberFormat="1" applyFont="1" applyFill="1" applyBorder="1" applyAlignment="1">
      <alignment horizontal="center" vertical="center" wrapText="1"/>
    </xf>
    <xf numFmtId="184" fontId="17" fillId="13" borderId="1" xfId="0" applyNumberFormat="1" applyFont="1" applyFill="1" applyBorder="1" applyAlignment="1">
      <alignment horizontal="center" vertical="center" wrapText="1"/>
    </xf>
    <xf numFmtId="0" fontId="17" fillId="13" borderId="1" xfId="0" applyNumberFormat="1" applyFont="1" applyFill="1" applyBorder="1" applyAlignment="1">
      <alignment horizontal="center" vertical="center" wrapText="1"/>
    </xf>
    <xf numFmtId="184" fontId="17" fillId="14" borderId="1" xfId="0" applyNumberFormat="1" applyFont="1" applyFill="1" applyBorder="1" applyAlignment="1">
      <alignment horizontal="center" vertical="center" wrapText="1"/>
    </xf>
    <xf numFmtId="0" fontId="31" fillId="0" borderId="0" xfId="0" applyNumberFormat="1" applyFont="1" applyFill="1"/>
    <xf numFmtId="176" fontId="8" fillId="0" borderId="0" xfId="0" applyFont="1" applyFill="1" applyAlignment="1">
      <alignment horizontal="center"/>
    </xf>
    <xf numFmtId="176" fontId="0" fillId="0" borderId="0" xfId="0" applyFill="1"/>
    <xf numFmtId="0" fontId="37" fillId="0" borderId="0" xfId="0" applyNumberFormat="1" applyFont="1" applyFill="1"/>
    <xf numFmtId="0" fontId="0" fillId="0" borderId="0" xfId="0" applyNumberFormat="1" applyFill="1"/>
    <xf numFmtId="187" fontId="38" fillId="15" borderId="0" xfId="50" applyNumberFormat="1" applyFont="1" applyFill="1" applyBorder="1" applyAlignment="1">
      <alignment horizontal="right" vertical="center" wrapText="1" shrinkToFit="1"/>
    </xf>
    <xf numFmtId="176" fontId="38" fillId="15" borderId="0" xfId="50" applyFont="1" applyFill="1" applyBorder="1" applyAlignment="1">
      <alignment horizontal="left" vertical="center" wrapText="1" shrinkToFit="1"/>
    </xf>
    <xf numFmtId="176" fontId="38" fillId="15" borderId="8" xfId="50" applyFont="1" applyFill="1" applyBorder="1" applyAlignment="1">
      <alignment horizontal="left" vertical="center" wrapText="1" shrinkToFit="1"/>
    </xf>
    <xf numFmtId="176" fontId="38" fillId="15" borderId="0" xfId="50" applyFont="1" applyFill="1" applyAlignment="1">
      <alignment horizontal="left" vertical="center" wrapText="1" shrinkToFit="1"/>
    </xf>
    <xf numFmtId="176" fontId="39" fillId="15" borderId="1" xfId="50" applyFont="1" applyFill="1" applyBorder="1" applyAlignment="1">
      <alignment horizontal="center" vertical="center" wrapText="1" shrinkToFit="1"/>
    </xf>
    <xf numFmtId="176" fontId="39" fillId="15" borderId="9" xfId="50" applyFont="1" applyFill="1" applyBorder="1" applyAlignment="1">
      <alignment horizontal="center" vertical="center" wrapText="1" shrinkToFit="1"/>
    </xf>
    <xf numFmtId="176" fontId="39" fillId="15" borderId="10" xfId="50" applyFont="1" applyFill="1" applyBorder="1" applyAlignment="1">
      <alignment horizontal="center" vertical="center" wrapText="1" shrinkToFit="1"/>
    </xf>
    <xf numFmtId="176" fontId="39" fillId="15" borderId="11" xfId="50" applyFont="1" applyFill="1" applyBorder="1" applyAlignment="1">
      <alignment horizontal="center" vertical="center" wrapText="1" shrinkToFit="1"/>
    </xf>
    <xf numFmtId="43" fontId="40" fillId="15" borderId="1" xfId="1" applyFont="1" applyFill="1" applyBorder="1" applyAlignment="1">
      <alignment horizontal="center" vertical="center" wrapText="1"/>
    </xf>
    <xf numFmtId="43" fontId="40" fillId="8" borderId="1" xfId="1" applyFont="1" applyFill="1" applyBorder="1" applyAlignment="1">
      <alignment horizontal="center" vertical="center" wrapText="1"/>
    </xf>
    <xf numFmtId="43" fontId="40" fillId="0" borderId="1" xfId="1" applyFont="1" applyFill="1" applyBorder="1" applyAlignment="1">
      <alignment horizontal="center" vertical="center" wrapText="1"/>
    </xf>
    <xf numFmtId="43" fontId="40" fillId="15" borderId="11" xfId="1" applyFont="1" applyFill="1" applyBorder="1" applyAlignment="1">
      <alignment horizontal="center" vertical="center" wrapText="1"/>
    </xf>
    <xf numFmtId="176" fontId="39" fillId="0" borderId="11" xfId="50" applyFont="1" applyFill="1" applyBorder="1" applyAlignment="1">
      <alignment horizontal="center" vertical="center" wrapText="1" shrinkToFit="1"/>
    </xf>
    <xf numFmtId="0" fontId="39" fillId="0" borderId="1" xfId="50" applyNumberFormat="1" applyFont="1" applyFill="1" applyBorder="1" applyAlignment="1">
      <alignment horizontal="center" vertical="center" wrapText="1" shrinkToFit="1"/>
    </xf>
    <xf numFmtId="176" fontId="39" fillId="0" borderId="1" xfId="50" applyFont="1" applyFill="1" applyBorder="1" applyAlignment="1">
      <alignment horizontal="center" vertical="center" wrapText="1" shrinkToFit="1"/>
    </xf>
    <xf numFmtId="49" fontId="39" fillId="15" borderId="1" xfId="50" applyNumberFormat="1" applyFont="1" applyFill="1" applyBorder="1" applyAlignment="1">
      <alignment horizontal="center" vertical="center" wrapText="1" shrinkToFit="1"/>
    </xf>
    <xf numFmtId="176" fontId="41" fillId="15" borderId="1" xfId="50" applyFont="1" applyFill="1" applyBorder="1" applyAlignment="1">
      <alignment horizontal="center" vertical="center" wrapText="1" shrinkToFit="1"/>
    </xf>
    <xf numFmtId="176" fontId="42" fillId="15" borderId="1" xfId="50" applyFont="1" applyFill="1" applyBorder="1" applyAlignment="1">
      <alignment horizontal="center" vertical="center" wrapText="1" shrinkToFit="1"/>
    </xf>
    <xf numFmtId="0" fontId="41" fillId="15" borderId="1" xfId="50" applyNumberFormat="1" applyFont="1" applyFill="1" applyBorder="1" applyAlignment="1">
      <alignment horizontal="center" vertical="center" wrapText="1" shrinkToFit="1"/>
    </xf>
    <xf numFmtId="43" fontId="42" fillId="15" borderId="1" xfId="1" applyFont="1" applyFill="1" applyBorder="1" applyAlignment="1">
      <alignment horizontal="center" vertical="center" wrapText="1"/>
    </xf>
    <xf numFmtId="0" fontId="37" fillId="0" borderId="0" xfId="0" applyNumberFormat="1" applyFont="1"/>
    <xf numFmtId="49" fontId="37" fillId="0" borderId="0" xfId="0" applyNumberFormat="1" applyFont="1"/>
    <xf numFmtId="0" fontId="37" fillId="0" borderId="0" xfId="0" applyNumberFormat="1" applyFont="1" applyAlignment="1">
      <alignment horizontal="center"/>
    </xf>
    <xf numFmtId="49" fontId="19" fillId="0" borderId="0" xfId="0" applyNumberFormat="1" applyFont="1"/>
    <xf numFmtId="49" fontId="19" fillId="8" borderId="0" xfId="0" applyNumberFormat="1" applyFont="1" applyFill="1"/>
    <xf numFmtId="43" fontId="0" fillId="0" borderId="0" xfId="0" applyNumberFormat="1"/>
    <xf numFmtId="49" fontId="19" fillId="16" borderId="0" xfId="0" applyNumberFormat="1" applyFont="1" applyFill="1"/>
    <xf numFmtId="49" fontId="19" fillId="17" borderId="0" xfId="0" applyNumberFormat="1" applyFont="1" applyFill="1"/>
    <xf numFmtId="49" fontId="19" fillId="9" borderId="0" xfId="0" applyNumberFormat="1" applyFont="1" applyFill="1"/>
    <xf numFmtId="49" fontId="19" fillId="18" borderId="0" xfId="0" applyNumberFormat="1" applyFont="1" applyFill="1"/>
    <xf numFmtId="184" fontId="0" fillId="0" borderId="0" xfId="0" applyNumberFormat="1"/>
    <xf numFmtId="176" fontId="43" fillId="0" borderId="0" xfId="0" applyFont="1" applyAlignment="1">
      <alignment horizontal="center"/>
    </xf>
    <xf numFmtId="176" fontId="44" fillId="0" borderId="2" xfId="0" applyFont="1" applyBorder="1" applyAlignment="1">
      <alignment horizontal="center"/>
    </xf>
    <xf numFmtId="184" fontId="44" fillId="0" borderId="12" xfId="0" applyNumberFormat="1" applyFont="1" applyBorder="1" applyAlignment="1">
      <alignment horizontal="center"/>
    </xf>
    <xf numFmtId="184" fontId="44" fillId="0" borderId="13" xfId="0" applyNumberFormat="1" applyFont="1" applyBorder="1" applyAlignment="1">
      <alignment horizontal="center"/>
    </xf>
    <xf numFmtId="43" fontId="22" fillId="0" borderId="2" xfId="0" applyNumberFormat="1" applyFont="1" applyBorder="1" applyAlignment="1">
      <alignment horizontal="center" vertical="center"/>
    </xf>
    <xf numFmtId="43" fontId="22" fillId="0" borderId="13" xfId="0" applyNumberFormat="1" applyFont="1" applyBorder="1" applyAlignment="1">
      <alignment horizontal="center" vertical="center"/>
    </xf>
    <xf numFmtId="176" fontId="44" fillId="0" borderId="4" xfId="0" applyFont="1" applyBorder="1" applyAlignment="1">
      <alignment horizontal="center"/>
    </xf>
    <xf numFmtId="43" fontId="45" fillId="0" borderId="1" xfId="1" applyFont="1" applyBorder="1" applyAlignment="1">
      <alignment horizontal="center"/>
    </xf>
    <xf numFmtId="188" fontId="45" fillId="0" borderId="14" xfId="1" applyNumberFormat="1" applyFont="1" applyBorder="1" applyAlignment="1">
      <alignment horizontal="center"/>
    </xf>
    <xf numFmtId="43" fontId="22" fillId="0" borderId="4" xfId="0" applyNumberFormat="1" applyFont="1" applyBorder="1" applyAlignment="1">
      <alignment horizontal="center" vertical="center"/>
    </xf>
    <xf numFmtId="43" fontId="0" fillId="0" borderId="14" xfId="0" applyNumberFormat="1" applyBorder="1" applyAlignment="1">
      <alignment horizontal="center" vertical="center"/>
    </xf>
    <xf numFmtId="43" fontId="22" fillId="0" borderId="15" xfId="0" applyNumberFormat="1" applyFont="1" applyBorder="1" applyAlignment="1">
      <alignment horizontal="center" vertical="center"/>
    </xf>
    <xf numFmtId="43" fontId="22" fillId="0" borderId="16" xfId="0" applyNumberFormat="1" applyFont="1" applyBorder="1" applyAlignment="1">
      <alignment horizontal="center" vertical="center"/>
    </xf>
    <xf numFmtId="176" fontId="22" fillId="0" borderId="15" xfId="0" applyFont="1" applyBorder="1" applyAlignment="1">
      <alignment horizontal="center"/>
    </xf>
    <xf numFmtId="43" fontId="44" fillId="0" borderId="17" xfId="1" applyFont="1" applyBorder="1" applyAlignment="1">
      <alignment horizontal="center"/>
    </xf>
    <xf numFmtId="188" fontId="44" fillId="0" borderId="16" xfId="1" applyNumberFormat="1" applyFont="1" applyBorder="1" applyAlignment="1">
      <alignment horizontal="center"/>
    </xf>
    <xf numFmtId="176" fontId="0" fillId="0" borderId="0" xfId="0" applyAlignment="1">
      <alignment horizontal="center"/>
    </xf>
    <xf numFmtId="184" fontId="0" fillId="0" borderId="0" xfId="0" applyNumberFormat="1" applyAlignment="1">
      <alignment horizontal="center"/>
    </xf>
    <xf numFmtId="176" fontId="44" fillId="0" borderId="1" xfId="0" applyFont="1" applyBorder="1" applyAlignment="1">
      <alignment horizontal="center"/>
    </xf>
    <xf numFmtId="184" fontId="44" fillId="0" borderId="1" xfId="0" applyNumberFormat="1" applyFont="1" applyBorder="1" applyAlignment="1">
      <alignment horizontal="center"/>
    </xf>
    <xf numFmtId="188" fontId="45" fillId="0" borderId="1" xfId="1" applyNumberFormat="1" applyFont="1" applyBorder="1" applyAlignment="1">
      <alignment horizontal="center"/>
    </xf>
    <xf numFmtId="43" fontId="44" fillId="0" borderId="1" xfId="1" applyFont="1" applyBorder="1" applyAlignment="1">
      <alignment horizontal="center"/>
    </xf>
    <xf numFmtId="188" fontId="44" fillId="0" borderId="1" xfId="1" applyNumberFormat="1" applyFont="1" applyBorder="1" applyAlignment="1">
      <alignment horizontal="center"/>
    </xf>
    <xf numFmtId="49" fontId="18" fillId="0" borderId="5" xfId="0" applyNumberFormat="1" applyFont="1" applyFill="1" applyBorder="1" applyAlignment="1" quotePrefix="1">
      <alignment horizontal="center" vertical="center" wrapText="1"/>
    </xf>
    <xf numFmtId="185" fontId="9" fillId="0" borderId="0" xfId="50" applyNumberFormat="1" applyFont="1" applyFill="1" applyBorder="1" applyAlignment="1" quotePrefix="1">
      <alignment horizontal="center" shrinkToFit="1"/>
    </xf>
    <xf numFmtId="49" fontId="1" fillId="0" borderId="0" xfId="0" applyNumberFormat="1" applyFont="1" applyFill="1" applyBorder="1" applyAlignment="1" quotePrefix="1">
      <alignment horizontal="center"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4" xfId="49"/>
    <cellStyle name="常规 2" xfId="50"/>
    <cellStyle name="常规 2 2" xfId="51"/>
    <cellStyle name="常规 2 2 3" xfId="52"/>
    <cellStyle name="常规 2 2 3 2" xfId="53"/>
    <cellStyle name="常规 2 4" xfId="54"/>
    <cellStyle name="常规 2 4 2" xfId="55"/>
    <cellStyle name="常规 4" xfId="56"/>
    <cellStyle name="常规 7" xfId="57"/>
    <cellStyle name="千位分隔 2" xfId="58"/>
  </cellStyles>
  <dxfs count="1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"/>
        </patternFill>
      </fill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1" defaultTableStyle="TableStyleMedium2" defaultPivotStyle="PivotStyleMedium9">
    <tableStyle name="中色系标题行镶边行表格样式_676304" count="10" xr9:uid="{44BAF96A-7BE9-41E2-8A87-744978A877C1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  <tableStyleElement type="secondColumnStripe" dxfId="9"/>
      <tableStyleElement type="firstTotalCell" dxfId="8"/>
      <tableStyleElement type="lastTotalCell" dxfId="7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eetMetadata" Target="metadata.xml"/><Relationship Id="rId34" Type="http://schemas.openxmlformats.org/officeDocument/2006/relationships/sharedStrings" Target="sharedStrings.xml"/><Relationship Id="rId33" Type="http://schemas.openxmlformats.org/officeDocument/2006/relationships/theme" Target="theme/theme1.xml"/><Relationship Id="rId32" Type="http://schemas.openxmlformats.org/officeDocument/2006/relationships/externalLink" Target="externalLinks/externalLink7.xml"/><Relationship Id="rId31" Type="http://schemas.openxmlformats.org/officeDocument/2006/relationships/externalLink" Target="externalLinks/externalLink6.xml"/><Relationship Id="rId30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4.xml"/><Relationship Id="rId28" Type="http://schemas.openxmlformats.org/officeDocument/2006/relationships/externalLink" Target="externalLinks/externalLink3.xml"/><Relationship Id="rId27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.xml"/><Relationship Id="rId25" Type="http://schemas.openxmlformats.org/officeDocument/2006/relationships/customXml" Target="../customXml/item2.xml"/><Relationship Id="rId24" Type="http://schemas.openxmlformats.org/officeDocument/2006/relationships/customXml" Target="../customXml/item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Y\2.&#34218;&#37228;&#32489;&#25928;\1.&#34218;&#37228;\1.&#24037;&#36164;\202303\3&#26376;&#34218;&#36164;&#23457;&#26680;&#24037;&#36164;&#30456;&#20851;&#26448;&#26009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24153\Downloads\&#20845;&#26865;&#38236;(&#26477;&#24030;)&#31185;&#25216;&#26377;&#38480;&#20844;&#21496;&#22312;&#32844;&#21592;&#24037;202511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LL\&#26700;&#38754;\&#20845;&#26865;&#38236;(&#26477;&#24030;)&#31185;&#25216;&#26377;&#38480;&#20844;&#21496;&#22312;&#32844;&#21592;&#24037;10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ocuments\WeChat%20Files\jenny12906736\FileStorage\File\2019-11\2019-10-&#27491;&#24120;&#24037;&#36164;&#34218;&#37329;&#25152;&#2447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24153\Desktop\&#20154;&#21592;&#20449;&#24687;&#37319;&#38598;&#23548;&#20837;&#27169;&#2649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24153\Desktop\&#21171;&#21153;&#25253;&#37228;&#25152;&#24471;&#65288;&#19981;&#36866;&#29992;&#32047;&#35745;&#39044;&#25187;&#27861;&#6528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24153\Downloads\&#20845;&#26865;&#38236;(&#26477;&#24030;)&#31185;&#25216;&#26377;&#38480;&#20844;&#21496;&#22312;&#32844;&#21592;&#24037;20251107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说明"/>
      <sheetName val="1-入职"/>
      <sheetName val="2-离职"/>
      <sheetName val="3-转正"/>
      <sheetName val="4-调岗调薪"/>
      <sheetName val="5-补扣款"/>
      <sheetName val="6-社保公积金"/>
      <sheetName val="7-考勤统计表"/>
      <sheetName val="8-产假"/>
      <sheetName val="9-专项附加扣除"/>
      <sheetName val="选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员工数据"/>
      <sheetName val="Hidden000cdfc206468fca52c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员工数据"/>
      <sheetName val="categoryHidden9"/>
      <sheetName val="categoryHidden33"/>
      <sheetName val="categoryHidden55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正常工资薪金收入"/>
      <sheetName val="表头对照"/>
      <sheetName val="累计专项扣除"/>
      <sheetName val="填表说明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人员信息"/>
      <sheetName val="填表说明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劳务报酬收入"/>
      <sheetName val="填表说明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员工数据"/>
      <sheetName val="Hidden000cdfc206468fca52c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90"/>
  <sheetViews>
    <sheetView showGridLines="0" tabSelected="1" workbookViewId="0">
      <selection activeCell="C9" sqref="C9:H9"/>
    </sheetView>
  </sheetViews>
  <sheetFormatPr defaultColWidth="9" defaultRowHeight="13.5"/>
  <cols>
    <col min="1" max="1" width="3.24778761061947" customWidth="1"/>
    <col min="2" max="2" width="5.3716814159292" customWidth="1"/>
    <col min="3" max="3" width="12.6283185840708" style="200" customWidth="1"/>
    <col min="4" max="4" width="11.3716814159292" style="200" customWidth="1"/>
    <col min="5" max="5" width="12.6283185840708" style="200" customWidth="1"/>
    <col min="6" max="8" width="11.3716814159292" style="200" customWidth="1"/>
    <col min="9" max="9" width="8.87610619469027" style="200" customWidth="1"/>
    <col min="10" max="10" width="3.50442477876106" customWidth="1"/>
    <col min="11" max="11" width="20.7522123893805" customWidth="1"/>
    <col min="12" max="12" width="15.3716814159292" style="195" customWidth="1"/>
    <col min="13" max="13" width="18.3716814159292" style="195" customWidth="1"/>
    <col min="14" max="14" width="12.6283185840708" style="195" customWidth="1"/>
    <col min="15" max="15" width="14.6283185840708" style="195" customWidth="1"/>
    <col min="16" max="16" width="12.6283185840708" style="195" customWidth="1"/>
    <col min="17" max="19" width="11.3716814159292" style="195" customWidth="1"/>
    <col min="20" max="20" width="8.87610619469027" customWidth="1"/>
  </cols>
  <sheetData>
    <row r="1" ht="18.35" spans="1:13">
      <c r="B1" s="201" t="s">
        <v>0</v>
      </c>
      <c r="C1" s="201"/>
      <c r="D1" s="201"/>
      <c r="E1" s="201"/>
      <c r="F1" s="201"/>
      <c r="G1" s="201"/>
      <c r="H1" s="201"/>
      <c r="I1" s="201"/>
      <c r="K1" s="195"/>
    </row>
    <row r="2" ht="15.75" spans="1:13">
      <c r="B2" s="202" t="s">
        <v>1</v>
      </c>
      <c r="C2" s="203" t="s">
        <v>2</v>
      </c>
      <c r="D2" s="203" t="s">
        <v>3</v>
      </c>
      <c r="E2" s="203" t="s">
        <v>4</v>
      </c>
      <c r="F2" s="203" t="s">
        <v>5</v>
      </c>
      <c r="G2" s="203" t="s">
        <v>6</v>
      </c>
      <c r="H2" s="203" t="s">
        <v>7</v>
      </c>
      <c r="I2" s="204" t="s">
        <v>8</v>
      </c>
      <c r="K2" s="205" t="s">
        <v>9</v>
      </c>
      <c r="L2" s="206" t="s">
        <v>10</v>
      </c>
    </row>
    <row r="3" ht="15.75" spans="1:13">
      <c r="B3" s="207" t="s">
        <v>11</v>
      </c>
      <c r="C3" s="208">
        <f>SUMIFS(工资表明细!AX:AX,工资表明细!B:B,B3)</f>
        <v>0</v>
      </c>
      <c r="D3" s="208">
        <f>SUMIFS(工资表明细!AU:AU,工资表明细!B:B,B3)</f>
        <v>0</v>
      </c>
      <c r="E3" s="208">
        <f>SUMIFS(工资表明细!BD:BD,工资表明细!B:B,B3)</f>
        <v>0</v>
      </c>
      <c r="F3" s="208">
        <f>SUMIFS(工资表明细!AS:AS,工资表明细!B:B,B3)</f>
        <v>0</v>
      </c>
      <c r="G3" s="208">
        <f>SUMIFS(工资表明细!BE:BE,工资表明细!B:B,B3)</f>
        <v>0</v>
      </c>
      <c r="H3" s="208">
        <f>SUMIFS(工资表明细!AT:AT,工资表明细!B:B,B3)</f>
        <v>0</v>
      </c>
      <c r="I3" s="209">
        <f>COUNTIFS(工资表明细!AX:AX,"&gt;0",工资表明细!B:B,B3)</f>
        <v>0</v>
      </c>
      <c r="K3" s="210" t="s">
        <v>12</v>
      </c>
      <c r="L3" s="211">
        <f>SUMIFS(工资表明细!AX:AX,工资表明细!G:G,0)</f>
        <v>0</v>
      </c>
      <c r="M3" s="195">
        <f>L3+L4-工资表明细!AX4</f>
        <v>0</v>
      </c>
    </row>
    <row r="4" ht="15.75" spans="1:13">
      <c r="B4" s="207" t="s">
        <v>13</v>
      </c>
      <c r="C4" s="208">
        <f>SUMIFS(工资表明细!AX:AX,工资表明细!B:B,B4)</f>
        <v>0</v>
      </c>
      <c r="D4" s="208">
        <f>SUMIFS(工资表明细!AU:AU,工资表明细!B:B,B4)</f>
        <v>0</v>
      </c>
      <c r="E4" s="208">
        <f>SUMIFS(工资表明细!BD:BD,工资表明细!B:B,B4)</f>
        <v>0</v>
      </c>
      <c r="F4" s="208">
        <f>SUMIFS(工资表明细!AS:AS,工资表明细!B:B,B4)</f>
        <v>0</v>
      </c>
      <c r="G4" s="208">
        <f>SUMIFS(工资表明细!BE:BE,工资表明细!B:B,B4)</f>
        <v>0</v>
      </c>
      <c r="H4" s="208">
        <f>SUMIFS(工资表明细!AT:AT,工资表明细!B:B,B4)</f>
        <v>0</v>
      </c>
      <c r="I4" s="209">
        <f>COUNTIFS(工资表明细!AX:AX,"&gt;0",工资表明细!B:B,B4)</f>
        <v>0</v>
      </c>
      <c r="K4" s="210" t="s">
        <v>14</v>
      </c>
      <c r="L4" s="211">
        <f>SUMIFS(工资表明细!AX:AX,工资表明细!G:G,"&gt;0")</f>
        <v>0</v>
      </c>
    </row>
    <row r="5" ht="15.75" spans="1:13">
      <c r="B5" s="207" t="s">
        <v>15</v>
      </c>
      <c r="C5" s="208">
        <f>SUMIFS(工资表明细!AX:AX,工资表明细!B:B,B5)</f>
        <v>0</v>
      </c>
      <c r="D5" s="208">
        <f>SUMIFS(工资表明细!AU:AU,工资表明细!B:B,B5)</f>
        <v>0</v>
      </c>
      <c r="E5" s="208">
        <f>SUMIFS(工资表明细!BD:BD,工资表明细!B:B,B5)</f>
        <v>0</v>
      </c>
      <c r="F5" s="208">
        <f>SUMIFS(工资表明细!AS:AS,工资表明细!B:B,B5)</f>
        <v>0</v>
      </c>
      <c r="G5" s="208">
        <f>SUMIFS(工资表明细!BE:BE,工资表明细!B:B,B5)</f>
        <v>0</v>
      </c>
      <c r="H5" s="208">
        <f>SUMIFS(工资表明细!AT:AT,工资表明细!B:B,B5)</f>
        <v>0</v>
      </c>
      <c r="I5" s="209">
        <f>COUNTIFS(工资表明细!AX:AX,"&gt;0",工资表明细!B:B,B5)</f>
        <v>0</v>
      </c>
      <c r="K5" s="210" t="s">
        <v>16</v>
      </c>
      <c r="L5" s="211">
        <v>86196.98</v>
      </c>
    </row>
    <row r="6" ht="15.75" spans="1:13">
      <c r="B6" s="207" t="s">
        <v>17</v>
      </c>
      <c r="C6" s="208">
        <f>SUMIFS(工资表明细!AX:AX,工资表明细!B:B,B6)</f>
        <v>0</v>
      </c>
      <c r="D6" s="208">
        <f>SUMIFS(工资表明细!AU:AU,工资表明细!B:B,B6)</f>
        <v>0</v>
      </c>
      <c r="E6" s="208">
        <f>SUMIFS(工资表明细!BD:BD,工资表明细!B:B,B6)</f>
        <v>0</v>
      </c>
      <c r="F6" s="208">
        <f>SUMIFS(工资表明细!AS:AS,工资表明细!B:B,B6)</f>
        <v>0</v>
      </c>
      <c r="G6" s="208">
        <f>SUMIFS(工资表明细!BE:BE,工资表明细!B:B,B6)</f>
        <v>0</v>
      </c>
      <c r="H6" s="208">
        <f>SUMIFS(工资表明细!AT:AT,工资表明细!B:B,B6)</f>
        <v>0</v>
      </c>
      <c r="I6" s="209">
        <f>COUNTIFS(工资表明细!AX:AX,"&gt;0",工资表明细!B:B,B6)</f>
        <v>0</v>
      </c>
      <c r="K6" s="210" t="s">
        <v>18</v>
      </c>
      <c r="L6" s="211">
        <v>0</v>
      </c>
    </row>
    <row r="7" ht="16.5" spans="1:13">
      <c r="B7" s="207" t="s">
        <v>19</v>
      </c>
      <c r="C7" s="208">
        <f>SUMIFS(工资表明细!AX:AX,工资表明细!B:B,B7)</f>
        <v>0</v>
      </c>
      <c r="D7" s="208">
        <f>SUMIFS(工资表明细!AU:AU,工资表明细!B:B,B7)</f>
        <v>0</v>
      </c>
      <c r="E7" s="208">
        <f>SUMIFS(工资表明细!BD:BD,工资表明细!B:B,B7)</f>
        <v>0</v>
      </c>
      <c r="F7" s="208">
        <f>SUMIFS(工资表明细!AS:AS,工资表明细!B:B,B7)</f>
        <v>0</v>
      </c>
      <c r="G7" s="208">
        <f>SUMIFS(工资表明细!BE:BE,工资表明细!B:B,B7)</f>
        <v>0</v>
      </c>
      <c r="H7" s="208">
        <f>SUMIFS(工资表明细!AT:AT,工资表明细!B:B,B7)</f>
        <v>0</v>
      </c>
      <c r="I7" s="209">
        <f>COUNTIFS(工资表明细!AX:AX,"&gt;0",工资表明细!B:B,B7)</f>
        <v>0</v>
      </c>
      <c r="K7" s="212" t="s">
        <v>20</v>
      </c>
      <c r="L7" s="213">
        <f>SUM(L3:L6)</f>
        <v>86196.98</v>
      </c>
    </row>
    <row r="8" ht="15.75" hidden="1" spans="1:13">
      <c r="B8" s="207" t="s">
        <v>21</v>
      </c>
      <c r="C8" s="208">
        <f>SUMIFS(工资表明细!AX:AX,工资表明细!B:B,B8)</f>
        <v>0</v>
      </c>
      <c r="D8" s="208">
        <f>SUMIFS(工资表明细!AU:AU,工资表明细!B:B,B8)</f>
        <v>0</v>
      </c>
      <c r="E8" s="208">
        <f>SUMIFS(工资表明细!BD:BD,工资表明细!B:B,B8)</f>
        <v>0</v>
      </c>
      <c r="F8" s="208">
        <f>SUMIFS(工资表明细!AS:AS,工资表明细!B:B,B8)</f>
        <v>0</v>
      </c>
      <c r="G8" s="208">
        <f>SUMIFS(工资表明细!BE:BE,工资表明细!B:B,B8)</f>
        <v>0</v>
      </c>
      <c r="H8" s="208">
        <f>SUMIFS(工资表明细!AT:AT,工资表明细!B:B,B8)</f>
        <v>0</v>
      </c>
      <c r="I8" s="209">
        <f>COUNTIFS(工资表明细!AX:AX,"&gt;0",工资表明细!B:B,B8)</f>
        <v>0</v>
      </c>
      <c r="K8" s="195"/>
    </row>
    <row r="9" ht="16.5" spans="1:13">
      <c r="B9" s="214" t="s">
        <v>22</v>
      </c>
      <c r="C9" s="215">
        <f t="shared" ref="C9:I9" si="0">SUM(C3:C8)</f>
        <v>0</v>
      </c>
      <c r="D9" s="215">
        <f t="shared" si="0"/>
        <v>0</v>
      </c>
      <c r="E9" s="215">
        <f t="shared" si="0"/>
        <v>0</v>
      </c>
      <c r="F9" s="215">
        <f t="shared" si="0"/>
        <v>0</v>
      </c>
      <c r="G9" s="215">
        <f t="shared" si="0"/>
        <v>0</v>
      </c>
      <c r="H9" s="215">
        <f t="shared" si="0"/>
        <v>0</v>
      </c>
      <c r="I9" s="216">
        <f t="shared" si="0"/>
        <v>0</v>
      </c>
      <c r="K9" s="195"/>
    </row>
    <row r="10" ht="15.75" spans="1:13">
      <c r="B10" s="217"/>
      <c r="C10" s="190"/>
      <c r="D10" s="218"/>
      <c r="E10" s="218"/>
      <c r="F10" s="218"/>
      <c r="G10" s="218"/>
      <c r="H10" s="218"/>
      <c r="I10" s="218"/>
      <c r="K10" s="195"/>
    </row>
    <row r="11" spans="1:13">
      <c r="B11" s="217"/>
      <c r="C11" s="218"/>
      <c r="D11" s="218"/>
      <c r="E11" s="218"/>
      <c r="F11" s="218"/>
      <c r="G11" s="218"/>
      <c r="H11" s="218"/>
      <c r="I11" s="218"/>
    </row>
    <row r="12" ht="15.75" hidden="1" spans="1:13">
      <c r="B12" s="219" t="s">
        <v>1</v>
      </c>
      <c r="C12" s="220" t="s">
        <v>2</v>
      </c>
      <c r="D12" s="220" t="s">
        <v>3</v>
      </c>
      <c r="E12" s="220" t="s">
        <v>4</v>
      </c>
      <c r="F12" s="220" t="s">
        <v>5</v>
      </c>
      <c r="G12" s="220" t="s">
        <v>6</v>
      </c>
      <c r="H12" s="220" t="s">
        <v>7</v>
      </c>
      <c r="I12" s="220" t="s">
        <v>8</v>
      </c>
    </row>
    <row r="13" ht="15.75" hidden="1" spans="1:13">
      <c r="B13" s="219" t="s">
        <v>23</v>
      </c>
      <c r="C13" s="208">
        <f>SUMIFS(工资表明细!AX:AX,工资表明细!B:B,B13)</f>
        <v>0</v>
      </c>
      <c r="D13" s="208">
        <f>SUMIFS(工资表明细!AU:AU,工资表明细!B:B,B13)</f>
        <v>0</v>
      </c>
      <c r="E13" s="208">
        <f>SUMIFS(工资表明细!BD:BD,工资表明细!B:B,B13)</f>
        <v>0</v>
      </c>
      <c r="F13" s="208">
        <f>SUMIFS(工资表明细!AS:AS,工资表明细!B:B,B13)</f>
        <v>0</v>
      </c>
      <c r="G13" s="208">
        <f>SUMIFS(工资表明细!BE:BE,工资表明细!B:B,B13)</f>
        <v>0</v>
      </c>
      <c r="H13" s="208">
        <f>SUMIFS(工资表明细!AT:AT,工资表明细!B:B,B13)</f>
        <v>0</v>
      </c>
      <c r="I13" s="221">
        <f>COUNTIFS(工资表明细!AX:AX,"&gt;0",工资表明细!B:B,B13)</f>
        <v>0</v>
      </c>
      <c r="K13" s="195"/>
    </row>
    <row r="14" ht="15.75" hidden="1" spans="1:13">
      <c r="B14" s="219" t="s">
        <v>22</v>
      </c>
      <c r="C14" s="222">
        <f t="shared" ref="C14:I14" si="1">SUM(C13:C13)</f>
        <v>0</v>
      </c>
      <c r="D14" s="222">
        <f t="shared" si="1"/>
        <v>0</v>
      </c>
      <c r="E14" s="222">
        <f t="shared" si="1"/>
        <v>0</v>
      </c>
      <c r="F14" s="222">
        <f t="shared" si="1"/>
        <v>0</v>
      </c>
      <c r="G14" s="222">
        <f t="shared" si="1"/>
        <v>0</v>
      </c>
      <c r="H14" s="222">
        <f t="shared" si="1"/>
        <v>0</v>
      </c>
      <c r="I14" s="223">
        <f t="shared" si="1"/>
        <v>0</v>
      </c>
      <c r="K14" s="195"/>
    </row>
    <row r="15" hidden="1" spans="1:13">
      <c r="D15"/>
      <c r="E15"/>
      <c r="F15"/>
      <c r="G15"/>
      <c r="H15"/>
      <c r="I15"/>
      <c r="K15" s="195"/>
    </row>
    <row r="16" hidden="1" spans="1:13">
      <c r="A16" s="195"/>
      <c r="B16" s="195"/>
      <c r="C16" s="195">
        <f>C14+C9-工资表明细!AX4</f>
        <v>0</v>
      </c>
      <c r="D16" s="195">
        <f>D9+D14-工资表明细!AU4</f>
        <v>0</v>
      </c>
      <c r="E16" s="195">
        <f>E9+E14-工资表明细!BD4</f>
        <v>0</v>
      </c>
      <c r="F16" s="195">
        <f>F9+F14-工资表明细!AS4</f>
        <v>0</v>
      </c>
      <c r="G16" s="195">
        <f>G9+G14-工资表明细!BE4</f>
        <v>0</v>
      </c>
      <c r="H16" s="195">
        <f>H9+H14-工资表明细!AT4</f>
        <v>0</v>
      </c>
      <c r="I16" s="195"/>
      <c r="J16" s="195"/>
      <c r="K16" s="195"/>
    </row>
    <row r="17" spans="1:11">
      <c r="A17" s="195"/>
      <c r="B17" s="195"/>
      <c r="C17" s="195"/>
      <c r="D17" s="195"/>
      <c r="E17" s="195"/>
      <c r="F17" s="195"/>
      <c r="G17" s="195"/>
      <c r="H17" s="195"/>
      <c r="I17" s="195"/>
      <c r="J17" s="195"/>
      <c r="K17" s="195"/>
    </row>
    <row r="18" spans="1:11">
      <c r="A18" s="195"/>
      <c r="C18"/>
      <c r="D18"/>
      <c r="E18"/>
      <c r="F18"/>
      <c r="G18"/>
      <c r="H18"/>
      <c r="I18"/>
      <c r="J18" s="195"/>
      <c r="K18" s="195"/>
    </row>
    <row r="19" spans="1:11">
      <c r="A19" s="195"/>
      <c r="C19"/>
      <c r="D19"/>
      <c r="E19"/>
      <c r="F19"/>
      <c r="G19"/>
      <c r="H19"/>
      <c r="I19"/>
      <c r="J19" s="195"/>
      <c r="K19" s="195"/>
    </row>
    <row r="20" spans="1:11">
      <c r="A20" s="195"/>
      <c r="C20"/>
      <c r="D20"/>
      <c r="E20"/>
      <c r="F20"/>
      <c r="G20"/>
      <c r="H20"/>
      <c r="I20"/>
      <c r="J20" s="195"/>
    </row>
    <row r="21" spans="1:11">
      <c r="A21" s="195"/>
      <c r="C21"/>
      <c r="D21"/>
      <c r="E21"/>
      <c r="F21"/>
      <c r="G21"/>
      <c r="H21"/>
      <c r="I21"/>
      <c r="J21" s="195"/>
    </row>
    <row r="22" spans="1:11">
      <c r="A22" s="195"/>
      <c r="C22"/>
      <c r="D22"/>
      <c r="E22"/>
      <c r="F22"/>
      <c r="G22"/>
      <c r="H22"/>
      <c r="I22"/>
      <c r="J22" s="195"/>
    </row>
    <row r="23" spans="1:11">
      <c r="C23"/>
      <c r="D23"/>
      <c r="E23"/>
      <c r="F23"/>
      <c r="G23"/>
      <c r="H23"/>
      <c r="I23"/>
    </row>
    <row r="24" spans="1:11">
      <c r="C24"/>
      <c r="D24"/>
      <c r="E24"/>
      <c r="F24"/>
      <c r="G24"/>
      <c r="H24"/>
      <c r="I24"/>
    </row>
    <row r="25" spans="1:11">
      <c r="C25"/>
      <c r="D25"/>
      <c r="E25"/>
      <c r="F25"/>
      <c r="G25"/>
      <c r="H25"/>
      <c r="I25"/>
    </row>
    <row r="26" spans="1:11">
      <c r="C26"/>
      <c r="D26"/>
      <c r="E26"/>
      <c r="F26"/>
      <c r="G26"/>
      <c r="H26"/>
      <c r="I26"/>
    </row>
    <row r="27" spans="1:11">
      <c r="C27"/>
      <c r="D27"/>
      <c r="E27"/>
      <c r="F27"/>
      <c r="G27"/>
      <c r="H27"/>
      <c r="I27"/>
    </row>
    <row r="28" spans="1:11">
      <c r="C28"/>
      <c r="D28"/>
      <c r="E28"/>
      <c r="F28"/>
      <c r="G28"/>
      <c r="H28"/>
      <c r="I28"/>
    </row>
    <row r="29" spans="1:11">
      <c r="C29"/>
      <c r="D29"/>
      <c r="E29"/>
      <c r="F29"/>
      <c r="G29"/>
      <c r="H29"/>
      <c r="I29"/>
    </row>
    <row r="30" spans="1:11">
      <c r="C30"/>
      <c r="D30"/>
      <c r="E30"/>
      <c r="F30"/>
      <c r="G30"/>
      <c r="H30"/>
      <c r="I30"/>
    </row>
    <row r="31" spans="1:11">
      <c r="C31"/>
      <c r="D31"/>
      <c r="E31"/>
      <c r="F31"/>
      <c r="G31"/>
      <c r="H31"/>
      <c r="I31"/>
    </row>
    <row r="32" spans="1:11">
      <c r="C32"/>
      <c r="D32"/>
      <c r="E32"/>
      <c r="F32"/>
      <c r="G32"/>
      <c r="H32"/>
      <c r="I32"/>
    </row>
    <row r="33" spans="3:9">
      <c r="C33"/>
      <c r="D33"/>
      <c r="E33"/>
      <c r="F33"/>
      <c r="G33"/>
      <c r="H33"/>
      <c r="I33"/>
    </row>
    <row r="34" spans="3:9">
      <c r="C34"/>
      <c r="D34"/>
      <c r="E34"/>
      <c r="F34"/>
      <c r="G34"/>
      <c r="H34"/>
      <c r="I34"/>
    </row>
    <row r="35" spans="3:9">
      <c r="C35"/>
      <c r="D35"/>
      <c r="E35"/>
      <c r="F35"/>
      <c r="G35"/>
      <c r="H35"/>
      <c r="I35"/>
    </row>
    <row r="36" spans="3:9">
      <c r="C36"/>
      <c r="D36"/>
      <c r="E36"/>
      <c r="F36"/>
      <c r="G36"/>
      <c r="H36"/>
      <c r="I36"/>
    </row>
    <row r="37" spans="3:9">
      <c r="C37"/>
      <c r="D37"/>
      <c r="E37"/>
      <c r="F37"/>
      <c r="G37"/>
      <c r="H37"/>
      <c r="I37"/>
    </row>
    <row r="38" spans="3:9">
      <c r="C38"/>
      <c r="D38"/>
      <c r="E38"/>
      <c r="F38"/>
      <c r="G38"/>
      <c r="H38"/>
      <c r="I38"/>
    </row>
    <row r="39" spans="3:9">
      <c r="C39"/>
      <c r="D39"/>
      <c r="E39"/>
      <c r="F39"/>
      <c r="G39"/>
      <c r="H39"/>
      <c r="I39"/>
    </row>
    <row r="40" spans="3:9">
      <c r="C40"/>
      <c r="D40"/>
      <c r="E40"/>
      <c r="F40"/>
      <c r="G40"/>
      <c r="H40"/>
      <c r="I40"/>
    </row>
    <row r="41" spans="3:9">
      <c r="C41"/>
      <c r="D41"/>
      <c r="E41"/>
      <c r="F41"/>
      <c r="G41"/>
      <c r="H41"/>
      <c r="I41"/>
    </row>
    <row r="42" spans="3:9">
      <c r="C42"/>
      <c r="D42"/>
      <c r="E42"/>
      <c r="F42"/>
      <c r="G42"/>
      <c r="H42"/>
      <c r="I42"/>
    </row>
    <row r="43" spans="3:9">
      <c r="C43"/>
      <c r="D43"/>
      <c r="E43"/>
      <c r="F43"/>
      <c r="G43"/>
      <c r="H43"/>
      <c r="I43"/>
    </row>
    <row r="44" spans="3:9">
      <c r="C44"/>
      <c r="D44"/>
      <c r="E44"/>
      <c r="F44"/>
      <c r="G44"/>
      <c r="H44"/>
      <c r="I44"/>
    </row>
    <row r="45" spans="3:9">
      <c r="C45"/>
      <c r="D45"/>
      <c r="E45"/>
      <c r="F45"/>
      <c r="G45"/>
      <c r="H45"/>
      <c r="I45"/>
    </row>
    <row r="46" spans="3:9">
      <c r="C46"/>
      <c r="D46"/>
      <c r="E46"/>
      <c r="F46"/>
      <c r="G46"/>
      <c r="H46"/>
      <c r="I46"/>
    </row>
    <row r="47" spans="3:9">
      <c r="C47"/>
      <c r="D47"/>
      <c r="E47"/>
      <c r="F47"/>
      <c r="G47"/>
      <c r="H47"/>
      <c r="I47"/>
    </row>
    <row r="48" spans="3:9">
      <c r="C48"/>
      <c r="D48"/>
      <c r="E48"/>
      <c r="F48"/>
      <c r="G48"/>
      <c r="H48"/>
      <c r="I48"/>
    </row>
    <row r="49" spans="3:9">
      <c r="C49"/>
      <c r="D49"/>
      <c r="E49"/>
      <c r="F49"/>
      <c r="G49"/>
      <c r="H49"/>
      <c r="I49"/>
    </row>
    <row r="50" spans="3:9">
      <c r="C50"/>
      <c r="D50"/>
      <c r="E50"/>
      <c r="F50"/>
      <c r="G50"/>
      <c r="H50"/>
      <c r="I50"/>
    </row>
    <row r="51" spans="3:9">
      <c r="C51"/>
      <c r="D51"/>
      <c r="E51"/>
      <c r="F51"/>
      <c r="G51"/>
      <c r="H51"/>
      <c r="I51"/>
    </row>
    <row r="52" spans="3:9">
      <c r="C52"/>
      <c r="D52"/>
      <c r="E52"/>
      <c r="F52"/>
      <c r="G52"/>
      <c r="H52"/>
      <c r="I52"/>
    </row>
    <row r="53" spans="3:9">
      <c r="C53"/>
      <c r="D53"/>
      <c r="E53"/>
      <c r="F53"/>
      <c r="G53"/>
      <c r="H53"/>
      <c r="I53"/>
    </row>
    <row r="54" spans="3:9">
      <c r="C54"/>
      <c r="D54"/>
      <c r="E54"/>
      <c r="F54"/>
      <c r="G54"/>
      <c r="H54"/>
      <c r="I54"/>
    </row>
    <row r="55" spans="3:9">
      <c r="C55"/>
      <c r="D55"/>
      <c r="E55"/>
      <c r="F55"/>
      <c r="G55"/>
      <c r="H55"/>
      <c r="I55"/>
    </row>
    <row r="56" spans="3:9">
      <c r="C56"/>
      <c r="D56"/>
      <c r="E56"/>
      <c r="F56"/>
      <c r="G56"/>
      <c r="H56"/>
      <c r="I56"/>
    </row>
    <row r="57" spans="3:9">
      <c r="C57"/>
      <c r="D57"/>
      <c r="E57"/>
      <c r="F57"/>
      <c r="G57"/>
      <c r="H57"/>
      <c r="I57"/>
    </row>
    <row r="58" spans="3:9">
      <c r="C58"/>
      <c r="D58"/>
      <c r="E58"/>
      <c r="F58"/>
      <c r="G58"/>
      <c r="H58"/>
      <c r="I58"/>
    </row>
    <row r="59" spans="3:9">
      <c r="C59"/>
      <c r="D59"/>
      <c r="E59"/>
      <c r="F59"/>
      <c r="G59"/>
      <c r="H59"/>
      <c r="I59"/>
    </row>
    <row r="60" spans="3:9">
      <c r="C60"/>
      <c r="D60"/>
      <c r="E60"/>
      <c r="F60"/>
      <c r="G60"/>
      <c r="H60"/>
      <c r="I60"/>
    </row>
    <row r="61" spans="3:9">
      <c r="C61"/>
      <c r="D61"/>
      <c r="E61"/>
      <c r="F61"/>
      <c r="G61"/>
      <c r="H61"/>
      <c r="I61"/>
    </row>
    <row r="62" spans="3:9">
      <c r="C62"/>
      <c r="D62"/>
      <c r="E62"/>
      <c r="F62"/>
      <c r="G62"/>
      <c r="H62"/>
      <c r="I62"/>
    </row>
    <row r="63" spans="3:9">
      <c r="C63"/>
      <c r="D63"/>
      <c r="E63"/>
      <c r="F63"/>
      <c r="G63"/>
      <c r="H63"/>
      <c r="I63"/>
    </row>
    <row r="64" spans="3:9">
      <c r="C64"/>
      <c r="D64"/>
      <c r="E64"/>
      <c r="F64"/>
      <c r="G64"/>
      <c r="H64"/>
      <c r="I64"/>
    </row>
    <row r="65" spans="3:9">
      <c r="C65"/>
      <c r="D65"/>
      <c r="E65"/>
      <c r="F65"/>
      <c r="G65"/>
      <c r="H65"/>
      <c r="I65"/>
    </row>
    <row r="66" spans="3:9">
      <c r="C66"/>
      <c r="D66"/>
      <c r="E66"/>
      <c r="F66"/>
      <c r="G66"/>
      <c r="H66"/>
      <c r="I66"/>
    </row>
    <row r="67" spans="3:9">
      <c r="C67"/>
      <c r="D67"/>
      <c r="E67"/>
      <c r="F67"/>
      <c r="G67"/>
      <c r="H67"/>
      <c r="I67"/>
    </row>
    <row r="68" spans="3:9">
      <c r="C68"/>
      <c r="D68"/>
      <c r="E68"/>
      <c r="F68"/>
      <c r="G68"/>
      <c r="H68"/>
      <c r="I68"/>
    </row>
    <row r="69" spans="3:9">
      <c r="C69"/>
      <c r="D69"/>
      <c r="E69"/>
      <c r="F69"/>
      <c r="G69"/>
      <c r="H69"/>
      <c r="I69"/>
    </row>
    <row r="70" spans="3:9">
      <c r="C70"/>
      <c r="D70"/>
      <c r="E70"/>
      <c r="F70"/>
      <c r="G70"/>
      <c r="H70"/>
      <c r="I70"/>
    </row>
    <row r="71" spans="3:9">
      <c r="C71"/>
      <c r="D71"/>
      <c r="E71"/>
      <c r="F71"/>
      <c r="G71"/>
      <c r="H71"/>
      <c r="I71"/>
    </row>
    <row r="72" spans="3:9">
      <c r="C72"/>
      <c r="D72"/>
      <c r="E72"/>
      <c r="F72"/>
      <c r="G72"/>
      <c r="H72"/>
      <c r="I72"/>
    </row>
    <row r="73" spans="3:9">
      <c r="C73"/>
      <c r="D73"/>
      <c r="E73"/>
      <c r="F73"/>
      <c r="G73"/>
      <c r="H73"/>
      <c r="I73"/>
    </row>
    <row r="74" spans="3:9">
      <c r="C74"/>
      <c r="D74"/>
      <c r="E74"/>
      <c r="F74"/>
      <c r="G74"/>
      <c r="H74"/>
      <c r="I74"/>
    </row>
    <row r="75" spans="3:9">
      <c r="C75"/>
      <c r="D75"/>
      <c r="E75"/>
      <c r="F75"/>
      <c r="G75"/>
      <c r="H75"/>
      <c r="I75"/>
    </row>
    <row r="76" spans="3:9">
      <c r="C76"/>
      <c r="D76"/>
      <c r="E76"/>
      <c r="F76"/>
      <c r="G76"/>
      <c r="H76"/>
      <c r="I76"/>
    </row>
    <row r="77" spans="3:9">
      <c r="C77"/>
      <c r="D77"/>
      <c r="E77"/>
      <c r="F77"/>
      <c r="G77"/>
      <c r="H77"/>
      <c r="I77"/>
    </row>
    <row r="78" spans="3:9">
      <c r="C78"/>
      <c r="D78"/>
      <c r="E78"/>
      <c r="F78"/>
      <c r="G78"/>
      <c r="H78"/>
      <c r="I78"/>
    </row>
    <row r="79" spans="3:9">
      <c r="C79"/>
      <c r="D79"/>
      <c r="E79"/>
      <c r="F79"/>
      <c r="G79"/>
      <c r="H79"/>
      <c r="I79"/>
    </row>
    <row r="80" spans="3:9">
      <c r="C80"/>
      <c r="D80"/>
      <c r="E80"/>
      <c r="F80"/>
      <c r="G80"/>
      <c r="H80"/>
      <c r="I80"/>
    </row>
    <row r="81" spans="3:9">
      <c r="C81"/>
      <c r="D81"/>
      <c r="E81"/>
      <c r="F81"/>
      <c r="G81"/>
      <c r="H81"/>
      <c r="I81"/>
    </row>
    <row r="82" spans="3:9">
      <c r="C82"/>
      <c r="D82"/>
      <c r="E82"/>
      <c r="F82"/>
      <c r="G82"/>
      <c r="H82"/>
      <c r="I82"/>
    </row>
    <row r="83" spans="3:9">
      <c r="C83"/>
      <c r="D83"/>
      <c r="E83"/>
      <c r="F83"/>
      <c r="G83"/>
      <c r="H83"/>
      <c r="I83"/>
    </row>
    <row r="84" spans="3:9">
      <c r="C84"/>
      <c r="D84"/>
      <c r="E84"/>
      <c r="F84"/>
      <c r="G84"/>
      <c r="H84"/>
      <c r="I84"/>
    </row>
    <row r="85" spans="3:9">
      <c r="C85"/>
      <c r="D85"/>
      <c r="E85"/>
      <c r="F85"/>
      <c r="G85"/>
      <c r="H85"/>
      <c r="I85"/>
    </row>
    <row r="86" spans="3:9">
      <c r="C86"/>
      <c r="D86"/>
      <c r="E86"/>
      <c r="F86"/>
      <c r="G86"/>
      <c r="H86"/>
      <c r="I86"/>
    </row>
    <row r="87" spans="3:9">
      <c r="C87"/>
      <c r="D87"/>
      <c r="E87"/>
      <c r="F87"/>
      <c r="G87"/>
      <c r="H87"/>
      <c r="I87"/>
    </row>
    <row r="88" spans="3:9">
      <c r="C88"/>
      <c r="D88"/>
      <c r="E88"/>
      <c r="F88"/>
      <c r="G88"/>
      <c r="H88"/>
      <c r="I88"/>
    </row>
    <row r="89" spans="3:9">
      <c r="C89"/>
      <c r="D89"/>
      <c r="E89"/>
      <c r="F89"/>
      <c r="G89"/>
      <c r="H89"/>
      <c r="I89"/>
    </row>
    <row r="90" spans="3:9">
      <c r="C90"/>
      <c r="D90"/>
      <c r="E90"/>
      <c r="F90"/>
      <c r="G90"/>
      <c r="H90"/>
      <c r="I90"/>
    </row>
  </sheetData>
  <mergeCells count="1">
    <mergeCell ref="B1:I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Q1048501"/>
  <sheetViews>
    <sheetView showZeros="0" workbookViewId="0">
      <pane xSplit="3" ySplit="3" topLeftCell="K4" activePane="bottomRight" state="frozen"/>
      <selection/>
      <selection pane="topRight"/>
      <selection pane="bottomLeft"/>
      <selection pane="bottomRight" activeCell="A4" sqref="$A4:$XFD77"/>
    </sheetView>
  </sheetViews>
  <sheetFormatPr defaultColWidth="8.75221238938053" defaultRowHeight="13.5"/>
  <cols>
    <col min="1" max="1" width="3.87610619469027" style="90" customWidth="1"/>
    <col min="2" max="2" width="7.12389380530973" style="90" customWidth="1"/>
    <col min="3" max="3" width="7" style="144" customWidth="1"/>
    <col min="4" max="4" width="15.3716814159292" style="144" customWidth="1"/>
    <col min="5" max="6" width="8.87610619469027" style="108" customWidth="1"/>
    <col min="7" max="7" width="7.3716814159292" style="90" customWidth="1"/>
    <col min="8" max="8" width="15.3716814159292" style="90" customWidth="1"/>
    <col min="9" max="9" width="10.3716814159292" style="90" customWidth="1"/>
    <col min="10" max="10" width="8.87610619469027" style="90" customWidth="1"/>
    <col min="11" max="11" width="18.7522123893805" style="90" customWidth="1"/>
    <col min="12" max="12" width="10.3716814159292" style="90" customWidth="1"/>
    <col min="13" max="13" width="6.6283185840708" style="90" customWidth="1"/>
    <col min="14" max="14" width="10.8761061946903" style="90" customWidth="1"/>
    <col min="15" max="15" width="12.8761061946903" style="90" customWidth="1"/>
    <col min="16" max="16" width="11.6283185840708" style="90" customWidth="1"/>
    <col min="17" max="17" width="9.24778761061947" style="90" customWidth="1" outlineLevel="1"/>
    <col min="18" max="18" width="6.6283185840708" style="90" customWidth="1" outlineLevel="1"/>
    <col min="19" max="19" width="8.12389380530973" style="90" customWidth="1" outlineLevel="1"/>
    <col min="20" max="20" width="9.24778761061947" style="90" customWidth="1" outlineLevel="1"/>
    <col min="21" max="21" width="5.12389380530973" style="90" customWidth="1" outlineLevel="1"/>
    <col min="22" max="23" width="10.3716814159292" style="90" customWidth="1" outlineLevel="1"/>
    <col min="24" max="24" width="10.3716814159292" style="90" customWidth="1"/>
    <col min="25" max="25" width="8.12389380530973" style="90" customWidth="1"/>
    <col min="26" max="27" width="9.24778761061947" style="90" customWidth="1"/>
    <col min="28" max="28" width="11.6283185840708" style="90" customWidth="1"/>
    <col min="29" max="29" width="10.3716814159292" style="90" customWidth="1"/>
    <col min="30" max="30" width="5.87610619469027" style="90" customWidth="1"/>
    <col min="31" max="31" width="7.12389380530973" style="90" customWidth="1"/>
    <col min="32" max="32" width="5.50442477876106" style="90" customWidth="1"/>
    <col min="33" max="33" width="9.6283185840708" style="90" customWidth="1"/>
    <col min="34" max="34" width="7.12389380530973" style="90" customWidth="1"/>
    <col min="35" max="36" width="10" style="90" customWidth="1"/>
    <col min="37" max="38" width="9.12389380530973" style="90" customWidth="1"/>
    <col min="39" max="39" width="7.85840707964602" style="90" customWidth="1"/>
    <col min="40" max="40" width="7.12389380530973" style="90" customWidth="1"/>
    <col min="41" max="41" width="11.6283185840708" style="90" customWidth="1"/>
    <col min="42" max="42" width="8.87610619469027" style="90" customWidth="1" outlineLevel="1"/>
    <col min="43" max="44" width="7.3716814159292" style="90" customWidth="1" outlineLevel="1"/>
    <col min="45" max="46" width="10.3716814159292" style="90" customWidth="1"/>
    <col min="47" max="47" width="9.6283185840708" style="90" customWidth="1"/>
    <col min="48" max="49" width="10.5044247787611" style="90" customWidth="1"/>
    <col min="50" max="50" width="13.7522123893805" style="90" customWidth="1"/>
    <col min="51" max="51" width="10.8761061946903" style="90" customWidth="1"/>
    <col min="52" max="52" width="10.3716814159292" style="90" customWidth="1"/>
    <col min="53" max="53" width="10.8761061946903" style="90" customWidth="1"/>
    <col min="54" max="55" width="10.3716814159292" style="90" customWidth="1"/>
    <col min="56" max="56" width="11.6283185840708" style="90" customWidth="1"/>
    <col min="57" max="57" width="10.3716814159292" style="90" customWidth="1"/>
    <col min="58" max="58" width="12.8761061946903" style="90" customWidth="1"/>
    <col min="59" max="59" width="19.8761061946903" style="90" customWidth="1"/>
    <col min="60" max="60" width="8" style="90" customWidth="1" outlineLevel="1"/>
    <col min="61" max="61" width="9.6283185840708" style="90" customWidth="1" outlineLevel="1"/>
    <col min="62" max="62" width="8.87610619469027" style="90" customWidth="1" outlineLevel="1"/>
    <col min="63" max="64" width="11.6283185840708" style="90" customWidth="1" outlineLevel="1"/>
    <col min="65" max="65" width="42.1238938053097" style="169" customWidth="1"/>
    <col min="66" max="66" width="21.5044247787611" style="169" customWidth="1"/>
    <col min="67" max="67" width="40" style="169" customWidth="1"/>
    <col min="68" max="68" width="50.6283185840708" style="169" customWidth="1"/>
    <col min="69" max="69" width="10.3716814159292" style="169" customWidth="1"/>
    <col min="70" max="16384" width="8.75221238938053" style="169"/>
  </cols>
  <sheetData>
    <row r="1" s="165" customFormat="1" ht="15.75" spans="1:69">
      <c r="A1" s="170" t="s">
        <v>24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1" t="s">
        <v>25</v>
      </c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  <c r="AX1" s="171"/>
      <c r="AY1" s="171"/>
      <c r="AZ1" s="171"/>
      <c r="BA1" s="171"/>
      <c r="BB1" s="171"/>
      <c r="BC1" s="171"/>
      <c r="BD1" s="171"/>
      <c r="BE1" s="171"/>
      <c r="BF1" s="171"/>
      <c r="BG1" s="172"/>
      <c r="BH1" s="173"/>
      <c r="BI1" s="173"/>
      <c r="BJ1" s="173"/>
      <c r="BK1" s="173"/>
      <c r="BL1" s="173"/>
    </row>
    <row r="2" s="166" customFormat="1" ht="26.25" customHeight="1" spans="1:69">
      <c r="A2" s="174" t="s">
        <v>26</v>
      </c>
      <c r="B2" s="175" t="s">
        <v>27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7"/>
      <c r="N2" s="177" t="s">
        <v>28</v>
      </c>
      <c r="O2" s="174" t="s">
        <v>29</v>
      </c>
      <c r="P2" s="174" t="s">
        <v>30</v>
      </c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 t="s">
        <v>31</v>
      </c>
      <c r="AD2" s="174"/>
      <c r="AE2" s="174"/>
      <c r="AF2" s="174"/>
      <c r="AG2" s="174"/>
      <c r="AH2" s="174"/>
      <c r="AI2" s="174"/>
      <c r="AJ2" s="174"/>
      <c r="AK2" s="174" t="s">
        <v>32</v>
      </c>
      <c r="AL2" s="174" t="s">
        <v>33</v>
      </c>
      <c r="AM2" s="174"/>
      <c r="AN2" s="174"/>
      <c r="AO2" s="174" t="s">
        <v>34</v>
      </c>
      <c r="AP2" s="174" t="s">
        <v>35</v>
      </c>
      <c r="AQ2" s="174"/>
      <c r="AR2" s="174"/>
      <c r="AS2" s="174"/>
      <c r="AT2" s="174"/>
      <c r="AU2" s="174"/>
      <c r="AV2" s="178" t="s">
        <v>36</v>
      </c>
      <c r="AW2" s="178" t="s">
        <v>37</v>
      </c>
      <c r="AX2" s="179" t="s">
        <v>2</v>
      </c>
      <c r="AY2" s="178" t="s">
        <v>38</v>
      </c>
      <c r="AZ2" s="178"/>
      <c r="BA2" s="178"/>
      <c r="BB2" s="178"/>
      <c r="BC2" s="178"/>
      <c r="BD2" s="178"/>
      <c r="BE2" s="178"/>
      <c r="BF2" s="180" t="s">
        <v>39</v>
      </c>
      <c r="BG2" s="178" t="s">
        <v>40</v>
      </c>
      <c r="BH2" s="181" t="s">
        <v>41</v>
      </c>
      <c r="BI2" s="181"/>
      <c r="BJ2" s="181"/>
      <c r="BK2" s="181"/>
      <c r="BL2" s="181"/>
      <c r="BM2" s="182" t="s">
        <v>42</v>
      </c>
      <c r="BN2" s="183" t="s">
        <v>43</v>
      </c>
      <c r="BO2" s="184" t="s">
        <v>44</v>
      </c>
      <c r="BP2" s="184" t="s">
        <v>40</v>
      </c>
    </row>
    <row r="3" s="167" customFormat="1" ht="26.25" customHeight="1" spans="1:69">
      <c r="A3" s="174" t="s">
        <v>26</v>
      </c>
      <c r="B3" s="174" t="s">
        <v>45</v>
      </c>
      <c r="C3" s="185" t="s">
        <v>46</v>
      </c>
      <c r="D3" s="185" t="s">
        <v>47</v>
      </c>
      <c r="E3" s="174" t="s">
        <v>48</v>
      </c>
      <c r="F3" s="174" t="s">
        <v>49</v>
      </c>
      <c r="G3" s="174" t="s">
        <v>50</v>
      </c>
      <c r="H3" s="174" t="s">
        <v>51</v>
      </c>
      <c r="I3" s="174" t="s">
        <v>52</v>
      </c>
      <c r="J3" s="174" t="s">
        <v>53</v>
      </c>
      <c r="K3" s="174" t="s">
        <v>54</v>
      </c>
      <c r="L3" s="174" t="s">
        <v>55</v>
      </c>
      <c r="M3" s="174" t="s">
        <v>56</v>
      </c>
      <c r="N3" s="177" t="s">
        <v>28</v>
      </c>
      <c r="O3" s="174" t="s">
        <v>29</v>
      </c>
      <c r="P3" s="174" t="s">
        <v>57</v>
      </c>
      <c r="Q3" s="186" t="s">
        <v>58</v>
      </c>
      <c r="R3" s="186" t="s">
        <v>59</v>
      </c>
      <c r="S3" s="186" t="s">
        <v>60</v>
      </c>
      <c r="T3" s="186" t="s">
        <v>61</v>
      </c>
      <c r="U3" s="186" t="s">
        <v>62</v>
      </c>
      <c r="V3" s="186" t="s">
        <v>63</v>
      </c>
      <c r="W3" s="186" t="s">
        <v>64</v>
      </c>
      <c r="X3" s="174" t="s">
        <v>65</v>
      </c>
      <c r="Y3" s="174" t="s">
        <v>66</v>
      </c>
      <c r="Z3" s="174" t="s">
        <v>67</v>
      </c>
      <c r="AA3" s="174" t="s">
        <v>68</v>
      </c>
      <c r="AB3" s="174" t="s">
        <v>69</v>
      </c>
      <c r="AC3" s="174" t="s">
        <v>70</v>
      </c>
      <c r="AD3" s="187" t="s">
        <v>71</v>
      </c>
      <c r="AE3" s="174" t="s">
        <v>72</v>
      </c>
      <c r="AF3" s="174" t="s">
        <v>73</v>
      </c>
      <c r="AG3" s="174" t="s">
        <v>74</v>
      </c>
      <c r="AH3" s="174" t="s">
        <v>75</v>
      </c>
      <c r="AI3" s="174" t="s">
        <v>76</v>
      </c>
      <c r="AJ3" s="174" t="s">
        <v>77</v>
      </c>
      <c r="AK3" s="174" t="s">
        <v>32</v>
      </c>
      <c r="AL3" s="174" t="s">
        <v>78</v>
      </c>
      <c r="AM3" s="174" t="s">
        <v>79</v>
      </c>
      <c r="AN3" s="174" t="s">
        <v>80</v>
      </c>
      <c r="AO3" s="174" t="s">
        <v>34</v>
      </c>
      <c r="AP3" s="186" t="s">
        <v>81</v>
      </c>
      <c r="AQ3" s="188" t="s">
        <v>82</v>
      </c>
      <c r="AR3" s="188" t="s">
        <v>83</v>
      </c>
      <c r="AS3" s="174" t="s">
        <v>84</v>
      </c>
      <c r="AT3" s="174" t="s">
        <v>85</v>
      </c>
      <c r="AU3" s="189" t="s">
        <v>3</v>
      </c>
      <c r="AV3" s="178" t="s">
        <v>36</v>
      </c>
      <c r="AW3" s="178" t="s">
        <v>37</v>
      </c>
      <c r="AX3" s="179" t="s">
        <v>2</v>
      </c>
      <c r="AY3" s="178" t="s">
        <v>86</v>
      </c>
      <c r="AZ3" s="178" t="s">
        <v>87</v>
      </c>
      <c r="BA3" s="178" t="s">
        <v>88</v>
      </c>
      <c r="BB3" s="178" t="s">
        <v>89</v>
      </c>
      <c r="BC3" s="178" t="s">
        <v>90</v>
      </c>
      <c r="BD3" s="178" t="s">
        <v>91</v>
      </c>
      <c r="BE3" s="178" t="s">
        <v>92</v>
      </c>
      <c r="BF3" s="180" t="s">
        <v>39</v>
      </c>
      <c r="BG3" s="178" t="s">
        <v>40</v>
      </c>
      <c r="BH3" s="181" t="s">
        <v>78</v>
      </c>
      <c r="BI3" s="181" t="s">
        <v>93</v>
      </c>
      <c r="BJ3" s="181" t="s">
        <v>94</v>
      </c>
      <c r="BK3" s="181" t="s">
        <v>95</v>
      </c>
      <c r="BL3" s="181" t="s">
        <v>96</v>
      </c>
      <c r="BM3" s="182" t="s">
        <v>42</v>
      </c>
      <c r="BN3" s="183" t="s">
        <v>43</v>
      </c>
      <c r="BO3" s="184" t="s">
        <v>97</v>
      </c>
      <c r="BP3" s="184" t="s">
        <v>40</v>
      </c>
    </row>
    <row r="4" s="168" customFormat="1" ht="15.75" spans="1:69">
      <c r="A4" s="190"/>
      <c r="B4" s="190" t="s">
        <v>20</v>
      </c>
      <c r="C4" s="191"/>
      <c r="D4" s="191"/>
      <c r="E4" s="192"/>
      <c r="F4" s="192"/>
      <c r="G4" s="190"/>
      <c r="H4" s="190"/>
      <c r="I4" s="190"/>
      <c r="J4" s="190"/>
      <c r="K4" s="190"/>
      <c r="L4" s="190"/>
      <c r="M4" s="190"/>
      <c r="N4" s="190"/>
      <c r="O4" s="190">
        <f t="shared" ref="O4:BL4" si="0">SUBTOTAL(9,O2:O3)</f>
        <v>0</v>
      </c>
      <c r="P4" s="190">
        <f t="shared" si="0"/>
        <v>0</v>
      </c>
      <c r="Q4" s="190">
        <f t="shared" si="0"/>
        <v>0</v>
      </c>
      <c r="R4" s="190">
        <f t="shared" si="0"/>
        <v>0</v>
      </c>
      <c r="S4" s="190">
        <f t="shared" si="0"/>
        <v>0</v>
      </c>
      <c r="T4" s="190">
        <f t="shared" si="0"/>
        <v>0</v>
      </c>
      <c r="U4" s="190">
        <f t="shared" si="0"/>
        <v>0</v>
      </c>
      <c r="V4" s="190">
        <f t="shared" si="0"/>
        <v>0</v>
      </c>
      <c r="W4" s="190">
        <f t="shared" si="0"/>
        <v>0</v>
      </c>
      <c r="X4" s="190">
        <f t="shared" si="0"/>
        <v>0</v>
      </c>
      <c r="Y4" s="190">
        <f t="shared" si="0"/>
        <v>0</v>
      </c>
      <c r="Z4" s="190">
        <f t="shared" si="0"/>
        <v>0</v>
      </c>
      <c r="AA4" s="190">
        <f t="shared" si="0"/>
        <v>0</v>
      </c>
      <c r="AB4" s="190">
        <f t="shared" si="0"/>
        <v>0</v>
      </c>
      <c r="AC4" s="190">
        <f t="shared" si="0"/>
        <v>0</v>
      </c>
      <c r="AD4" s="190">
        <f t="shared" si="0"/>
        <v>0</v>
      </c>
      <c r="AE4" s="190">
        <f t="shared" si="0"/>
        <v>0</v>
      </c>
      <c r="AF4" s="190">
        <f t="shared" si="0"/>
        <v>0</v>
      </c>
      <c r="AG4" s="190">
        <f t="shared" si="0"/>
        <v>0</v>
      </c>
      <c r="AH4" s="190">
        <f t="shared" si="0"/>
        <v>0</v>
      </c>
      <c r="AI4" s="190">
        <f t="shared" si="0"/>
        <v>0</v>
      </c>
      <c r="AJ4" s="190">
        <f t="shared" si="0"/>
        <v>0</v>
      </c>
      <c r="AK4" s="190">
        <f t="shared" si="0"/>
        <v>0</v>
      </c>
      <c r="AL4" s="190">
        <f t="shared" si="0"/>
        <v>0</v>
      </c>
      <c r="AM4" s="190">
        <f t="shared" si="0"/>
        <v>0</v>
      </c>
      <c r="AN4" s="190">
        <f t="shared" si="0"/>
        <v>0</v>
      </c>
      <c r="AO4" s="190">
        <f t="shared" si="0"/>
        <v>0</v>
      </c>
      <c r="AP4" s="190">
        <f t="shared" si="0"/>
        <v>0</v>
      </c>
      <c r="AQ4" s="190">
        <f t="shared" si="0"/>
        <v>0</v>
      </c>
      <c r="AR4" s="190">
        <f t="shared" si="0"/>
        <v>0</v>
      </c>
      <c r="AS4" s="190">
        <f t="shared" si="0"/>
        <v>0</v>
      </c>
      <c r="AT4" s="190">
        <f t="shared" si="0"/>
        <v>0</v>
      </c>
      <c r="AU4" s="190">
        <f t="shared" si="0"/>
        <v>0</v>
      </c>
      <c r="AV4" s="190">
        <f t="shared" si="0"/>
        <v>0</v>
      </c>
      <c r="AW4" s="190">
        <f t="shared" si="0"/>
        <v>0</v>
      </c>
      <c r="AX4" s="190">
        <f t="shared" si="0"/>
        <v>0</v>
      </c>
      <c r="AY4" s="190">
        <f t="shared" si="0"/>
        <v>0</v>
      </c>
      <c r="AZ4" s="190">
        <f t="shared" si="0"/>
        <v>0</v>
      </c>
      <c r="BA4" s="190">
        <f t="shared" si="0"/>
        <v>0</v>
      </c>
      <c r="BB4" s="190">
        <f t="shared" si="0"/>
        <v>0</v>
      </c>
      <c r="BC4" s="190">
        <f t="shared" si="0"/>
        <v>0</v>
      </c>
      <c r="BD4" s="190">
        <f t="shared" si="0"/>
        <v>0</v>
      </c>
      <c r="BE4" s="190">
        <f t="shared" si="0"/>
        <v>0</v>
      </c>
      <c r="BF4" s="190">
        <f t="shared" si="0"/>
        <v>0</v>
      </c>
      <c r="BG4" s="190">
        <f t="shared" si="0"/>
        <v>0</v>
      </c>
      <c r="BH4" s="190">
        <f t="shared" si="0"/>
        <v>0</v>
      </c>
      <c r="BI4" s="190">
        <f t="shared" si="0"/>
        <v>0</v>
      </c>
      <c r="BJ4" s="190">
        <f t="shared" si="0"/>
        <v>0</v>
      </c>
      <c r="BK4" s="190">
        <f t="shared" si="0"/>
        <v>0</v>
      </c>
      <c r="BL4" s="190">
        <f t="shared" si="0"/>
        <v>0</v>
      </c>
      <c r="BQ4" s="169"/>
    </row>
    <row r="5" s="168" customFormat="1" ht="15.75" spans="1:69">
      <c r="A5" s="190"/>
      <c r="B5" s="190"/>
      <c r="C5" s="191"/>
      <c r="D5" s="191"/>
      <c r="E5" s="192"/>
      <c r="F5" s="192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0"/>
      <c r="AN5" s="190"/>
      <c r="AO5" s="190"/>
      <c r="AP5" s="190"/>
      <c r="AQ5" s="190"/>
      <c r="AR5" s="190"/>
      <c r="AS5" s="190"/>
      <c r="AT5" s="190"/>
      <c r="AU5" s="190"/>
      <c r="AV5" s="190"/>
      <c r="AW5" s="190"/>
      <c r="AX5" s="190"/>
      <c r="AY5" s="190"/>
      <c r="AZ5" s="190"/>
      <c r="BA5" s="190"/>
      <c r="BB5" s="190"/>
      <c r="BC5" s="190"/>
      <c r="BD5" s="190"/>
      <c r="BE5" s="190"/>
      <c r="BF5" s="190"/>
      <c r="BG5" s="190"/>
      <c r="BH5" s="190"/>
      <c r="BI5" s="190"/>
      <c r="BJ5" s="190"/>
      <c r="BK5" s="190"/>
      <c r="BL5" s="190"/>
    </row>
    <row r="6" s="169" customFormat="1" spans="1:69">
      <c r="A6" s="90"/>
      <c r="B6" s="90"/>
      <c r="C6" s="144"/>
      <c r="D6" s="144"/>
      <c r="E6" s="108"/>
      <c r="F6" s="108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/>
      <c r="AP6"/>
      <c r="AQ6"/>
      <c r="AR6"/>
      <c r="AS6"/>
      <c r="AT6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</row>
    <row r="7" s="169" customFormat="1" ht="15.75" spans="1:69">
      <c r="A7" s="144" t="s">
        <v>98</v>
      </c>
      <c r="B7" s="193"/>
      <c r="C7" s="169"/>
      <c r="D7" s="169"/>
      <c r="E7" s="108"/>
      <c r="F7" s="108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/>
      <c r="AP7"/>
      <c r="AQ7"/>
      <c r="AR7"/>
      <c r="AS7"/>
      <c r="AT7"/>
      <c r="AU7" s="90"/>
      <c r="AV7" s="90"/>
      <c r="AW7" s="90"/>
      <c r="AX7" s="190"/>
      <c r="AY7" s="90"/>
      <c r="AZ7" s="90"/>
      <c r="BA7" s="90"/>
      <c r="BB7" s="90"/>
      <c r="BC7" s="90"/>
      <c r="BD7" s="90"/>
      <c r="BE7" s="90"/>
      <c r="BF7" s="169"/>
      <c r="BG7" s="90"/>
      <c r="BH7" s="90"/>
      <c r="BI7" s="90"/>
      <c r="BJ7" s="90"/>
      <c r="BK7" s="90"/>
      <c r="BL7" s="90"/>
    </row>
    <row r="8" s="169" customFormat="1" ht="13" customHeight="1" spans="1:69">
      <c r="A8" s="194"/>
      <c r="B8" s="193" t="s">
        <v>99</v>
      </c>
      <c r="C8" s="169"/>
      <c r="D8" s="169"/>
      <c r="E8" s="108"/>
      <c r="F8" s="108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195"/>
      <c r="BG8" s="195"/>
      <c r="BH8" s="195"/>
      <c r="BI8" s="195"/>
      <c r="BJ8" s="195"/>
      <c r="BK8" s="195"/>
      <c r="BL8" s="195"/>
    </row>
    <row r="9" s="169" customFormat="1" spans="1:69">
      <c r="A9" s="196"/>
      <c r="B9" s="193" t="s">
        <v>100</v>
      </c>
      <c r="C9" s="169"/>
      <c r="D9" s="169"/>
      <c r="E9" s="108"/>
      <c r="F9" s="108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/>
      <c r="AP9"/>
      <c r="AQ9"/>
      <c r="AR9"/>
      <c r="AS9"/>
      <c r="AT9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</row>
    <row r="10" s="169" customFormat="1" spans="1:69">
      <c r="A10" s="197"/>
      <c r="B10" s="193" t="s">
        <v>101</v>
      </c>
      <c r="C10" s="169"/>
      <c r="D10" s="169"/>
      <c r="E10" s="108"/>
      <c r="F10" s="108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/>
      <c r="AP10"/>
      <c r="AQ10"/>
      <c r="AR10"/>
      <c r="AS10"/>
      <c r="AT10"/>
      <c r="AU10" s="90"/>
      <c r="AV10" s="90"/>
      <c r="AW10" s="90"/>
      <c r="AX10" s="195"/>
      <c r="AY10" s="195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</row>
    <row r="11" s="169" customFormat="1" spans="1:69">
      <c r="A11" s="198"/>
      <c r="B11" s="193" t="s">
        <v>102</v>
      </c>
      <c r="C11" s="169"/>
      <c r="D11" s="169"/>
      <c r="E11" s="108"/>
      <c r="F11" s="108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/>
      <c r="AP11"/>
      <c r="AQ11"/>
      <c r="AR11"/>
      <c r="AS11"/>
      <c r="AT11"/>
      <c r="AU11" s="90"/>
      <c r="AV11" s="90"/>
      <c r="AW11" s="90"/>
      <c r="AX11" s="90"/>
      <c r="AY11" s="195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0"/>
    </row>
    <row r="12" s="169" customFormat="1" spans="1:69">
      <c r="A12" s="199"/>
      <c r="B12" s="193" t="s">
        <v>103</v>
      </c>
      <c r="C12" s="169"/>
      <c r="D12" s="169"/>
      <c r="E12" s="108"/>
      <c r="F12" s="108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/>
      <c r="AP12"/>
      <c r="AQ12"/>
      <c r="AR12"/>
      <c r="AS12"/>
      <c r="AT12"/>
      <c r="AU12" s="90"/>
      <c r="AV12" s="195"/>
      <c r="AW12" s="90"/>
      <c r="AX12" s="195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0"/>
    </row>
    <row r="13" s="169" customFormat="1" spans="1:69">
      <c r="A13" s="90"/>
      <c r="B13" s="90"/>
      <c r="C13" s="144"/>
      <c r="D13" s="144"/>
      <c r="E13" s="108"/>
      <c r="F13" s="108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/>
      <c r="AP13"/>
      <c r="AQ13"/>
      <c r="AR13"/>
      <c r="AS13"/>
      <c r="AT13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  <c r="BK13" s="90"/>
      <c r="BL13" s="90"/>
    </row>
    <row r="1048482" s="169" customFormat="1"/>
    <row r="1048483" s="169" customFormat="1"/>
    <row r="1048484" s="169" customFormat="1"/>
    <row r="1048485" s="169" customFormat="1"/>
    <row r="1048486" s="169" customFormat="1"/>
    <row r="1048487" s="169" customFormat="1"/>
    <row r="1048488" s="169" customFormat="1"/>
    <row r="1048489" s="169" customFormat="1"/>
    <row r="1048490" s="169" customFormat="1"/>
    <row r="1048491" s="169" customFormat="1"/>
    <row r="1048492" s="169" customFormat="1"/>
    <row r="1048493" s="169" customFormat="1"/>
    <row r="1048494" s="169" customFormat="1"/>
    <row r="1048495" s="169" customFormat="1"/>
    <row r="1048496" s="169" customFormat="1"/>
    <row r="1048497" s="169" customFormat="1"/>
    <row r="1048498" s="169" customFormat="1"/>
    <row r="1048499" s="169" customFormat="1"/>
    <row r="1048500" s="169" customFormat="1"/>
    <row r="1048501" s="169" customFormat="1"/>
  </sheetData>
  <mergeCells count="9">
    <mergeCell ref="A1:AC1"/>
    <mergeCell ref="AD1:BF1"/>
    <mergeCell ref="B2:M2"/>
    <mergeCell ref="P2:AB2"/>
    <mergeCell ref="AC2:AJ2"/>
    <mergeCell ref="AL2:AN2"/>
    <mergeCell ref="AP2:AU2"/>
    <mergeCell ref="AY2:BE2"/>
    <mergeCell ref="BH2:BL2"/>
  </mergeCells>
  <conditionalFormatting sqref="A1">
    <cfRule type="duplicateValues" dxfId="0" priority="21"/>
  </conditionalFormatting>
  <conditionalFormatting sqref="A2">
    <cfRule type="duplicateValues" dxfId="0" priority="153"/>
  </conditionalFormatting>
  <conditionalFormatting sqref="B2">
    <cfRule type="duplicateValues" dxfId="0" priority="155"/>
  </conditionalFormatting>
  <conditionalFormatting sqref="A3">
    <cfRule type="duplicateValues" dxfId="0" priority="154"/>
  </conditionalFormatting>
  <conditionalFormatting sqref="C3">
    <cfRule type="duplicateValues" dxfId="0" priority="161"/>
  </conditionalFormatting>
  <conditionalFormatting sqref="C1:C6 A7:A12 C13">
    <cfRule type="duplicateValues" dxfId="0" priority="19"/>
  </conditionalFormatting>
  <conditionalFormatting sqref="AV2:AY2 BF2 AV3:BF3">
    <cfRule type="cellIs" dxfId="1" priority="157" operator="lessThan">
      <formula>0</formula>
    </cfRule>
  </conditionalFormatting>
  <conditionalFormatting sqref="BG2:BJ2 BG3:BL3">
    <cfRule type="cellIs" dxfId="1" priority="20" operator="lessThan">
      <formula>0</formula>
    </cfRule>
  </conditionalFormatting>
  <conditionalFormatting sqref="C4:C6 A7:A12 C13">
    <cfRule type="duplicateValues" dxfId="0" priority="165"/>
  </conditionalFormatting>
  <conditionalFormatting sqref="AU4:AW4 AU5:AV13">
    <cfRule type="cellIs" dxfId="1" priority="164" operator="lessThan">
      <formula>0</formula>
    </cfRule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D2"/>
  <sheetViews>
    <sheetView showZeros="0" zoomScale="80" zoomScaleNormal="80" workbookViewId="0">
      <pane xSplit="2" ySplit="2" topLeftCell="Y3" activePane="bottomRight" state="frozen"/>
      <selection/>
      <selection pane="topRight"/>
      <selection pane="bottomLeft"/>
      <selection pane="bottomRight" activeCell="A3" sqref="$A3:$XFD76"/>
    </sheetView>
  </sheetViews>
  <sheetFormatPr defaultColWidth="9.14159292035398" defaultRowHeight="15.75" outlineLevelRow="1"/>
  <cols>
    <col min="1" max="1" width="20.3716814159292" style="149" customWidth="1"/>
    <col min="2" max="2" width="12.8761061946903" style="150" customWidth="1"/>
    <col min="3" max="3" width="42.1238938053097" style="150" customWidth="1"/>
    <col min="4" max="4" width="19.1238938053097" style="150" customWidth="1"/>
    <col min="5" max="5" width="14.8318584070796" style="150" customWidth="1"/>
    <col min="6" max="6" width="12.7522123893805" style="150" customWidth="1"/>
    <col min="7" max="9" width="10.6637168141593" style="151" customWidth="1"/>
    <col min="10" max="13" width="9.07964601769912" style="150" customWidth="1"/>
    <col min="14" max="14" width="7" style="150" customWidth="1"/>
    <col min="15" max="15" width="8.27433628318584" style="150" customWidth="1"/>
    <col min="16" max="16" width="11.6637168141593" style="150" customWidth="1"/>
    <col min="17" max="17" width="9.07964601769912" style="150" customWidth="1"/>
    <col min="18" max="37" width="9.12389380530973" style="150" customWidth="1"/>
    <col min="38" max="40" width="9.12389380530973" style="150" hidden="1" customWidth="1"/>
    <col min="41" max="41" width="13.8318584070796" style="149" customWidth="1"/>
    <col min="42" max="42" width="9.14159292035398" style="149" customWidth="1"/>
    <col min="43" max="44" width="12.7964601769912" style="149" customWidth="1"/>
    <col min="45" max="45" width="13.8318584070796" style="149" customWidth="1"/>
    <col min="46" max="47" width="12.7964601769912" style="149" customWidth="1"/>
    <col min="48" max="48" width="13.8318584070796" style="149" customWidth="1"/>
    <col min="49" max="49" width="12.6637168141593" style="149" hidden="1" customWidth="1"/>
    <col min="50" max="53" width="12.7964601769912" style="149" hidden="1" customWidth="1"/>
    <col min="54" max="54" width="9.14159292035398" style="149"/>
    <col min="55" max="55" width="9.14159292035398" style="152"/>
    <col min="56" max="16384" width="9.14159292035398" style="149"/>
  </cols>
  <sheetData>
    <row r="1" spans="1:56">
      <c r="O1" s="150" t="s">
        <v>104</v>
      </c>
      <c r="P1" s="153">
        <v>46234</v>
      </c>
      <c r="Q1" s="153">
        <v>46204</v>
      </c>
    </row>
    <row r="2" s="149" customFormat="1" ht="94.5" spans="1:56">
      <c r="A2" s="154" t="s">
        <v>47</v>
      </c>
      <c r="B2" s="155" t="s">
        <v>46</v>
      </c>
      <c r="C2" s="156" t="s">
        <v>42</v>
      </c>
      <c r="D2" s="156" t="s">
        <v>51</v>
      </c>
      <c r="E2" s="156" t="s">
        <v>52</v>
      </c>
      <c r="F2" s="156" t="s">
        <v>53</v>
      </c>
      <c r="G2" s="157" t="s">
        <v>48</v>
      </c>
      <c r="H2" s="157" t="s">
        <v>49</v>
      </c>
      <c r="I2" s="157" t="s">
        <v>50</v>
      </c>
      <c r="J2" s="156" t="s">
        <v>105</v>
      </c>
      <c r="K2" s="156" t="s">
        <v>106</v>
      </c>
      <c r="L2" s="156" t="s">
        <v>107</v>
      </c>
      <c r="M2" s="156" t="s">
        <v>108</v>
      </c>
      <c r="N2" s="156" t="s">
        <v>57</v>
      </c>
      <c r="O2" s="156" t="s">
        <v>70</v>
      </c>
      <c r="P2" s="158" t="s">
        <v>109</v>
      </c>
      <c r="Q2" s="159" t="s">
        <v>110</v>
      </c>
      <c r="R2" s="160" t="s">
        <v>111</v>
      </c>
      <c r="S2" s="160" t="s">
        <v>112</v>
      </c>
      <c r="T2" s="160" t="s">
        <v>113</v>
      </c>
      <c r="U2" s="161" t="s">
        <v>73</v>
      </c>
      <c r="V2" s="160" t="s">
        <v>114</v>
      </c>
      <c r="W2" s="161" t="s">
        <v>115</v>
      </c>
      <c r="X2" s="161" t="s">
        <v>116</v>
      </c>
      <c r="Y2" s="161" t="s">
        <v>117</v>
      </c>
      <c r="Z2" s="161" t="s">
        <v>118</v>
      </c>
      <c r="AA2" s="161" t="s">
        <v>119</v>
      </c>
      <c r="AB2" s="161" t="s">
        <v>120</v>
      </c>
      <c r="AC2" s="161" t="s">
        <v>121</v>
      </c>
      <c r="AD2" s="161" t="s">
        <v>122</v>
      </c>
      <c r="AE2" s="161" t="s">
        <v>123</v>
      </c>
      <c r="AF2" s="161" t="s">
        <v>124</v>
      </c>
      <c r="AG2" s="161" t="s">
        <v>125</v>
      </c>
      <c r="AH2" s="161" t="s">
        <v>126</v>
      </c>
      <c r="AI2" s="161" t="s">
        <v>127</v>
      </c>
      <c r="AJ2" s="161" t="s">
        <v>128</v>
      </c>
      <c r="AK2" s="161" t="s">
        <v>129</v>
      </c>
      <c r="AL2" s="161" t="s">
        <v>130</v>
      </c>
      <c r="AM2" s="161" t="s">
        <v>131</v>
      </c>
      <c r="AN2" s="161" t="s">
        <v>132</v>
      </c>
      <c r="AO2" s="162" t="s">
        <v>133</v>
      </c>
      <c r="AP2" s="163" t="s">
        <v>134</v>
      </c>
      <c r="AQ2" s="162" t="s">
        <v>59</v>
      </c>
      <c r="AR2" s="163" t="s">
        <v>60</v>
      </c>
      <c r="AS2" s="163" t="s">
        <v>135</v>
      </c>
      <c r="AT2" s="162" t="s">
        <v>63</v>
      </c>
      <c r="AU2" s="162" t="s">
        <v>136</v>
      </c>
      <c r="AV2" s="162" t="s">
        <v>137</v>
      </c>
      <c r="AW2" s="164" t="s">
        <v>138</v>
      </c>
      <c r="AX2" s="164" t="s">
        <v>139</v>
      </c>
      <c r="AY2" s="164" t="s">
        <v>140</v>
      </c>
      <c r="AZ2" s="164" t="s">
        <v>141</v>
      </c>
      <c r="BA2" s="164" t="s">
        <v>20</v>
      </c>
      <c r="BB2" s="149" t="s">
        <v>142</v>
      </c>
      <c r="BC2" s="152" t="s">
        <v>143</v>
      </c>
      <c r="BD2" s="149" t="s">
        <v>144</v>
      </c>
    </row>
  </sheetData>
  <autoFilter xmlns:etc="http://www.wps.cn/officeDocument/2017/etCustomData" ref="A2:BD2" etc:filterBottomFollowUsedRange="0">
    <extLst/>
  </autoFilter>
  <conditionalFormatting sqref="B2">
    <cfRule type="duplicateValues" dxfId="0" priority="12"/>
  </conditionalFormatting>
  <pageMargins left="0.75" right="0.75" top="1" bottom="1" header="0.511805555555556" footer="0.51180555555555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1"/>
  <sheetViews>
    <sheetView workbookViewId="0">
      <selection activeCell="A2" sqref="$A2:$XFD41"/>
    </sheetView>
  </sheetViews>
  <sheetFormatPr defaultColWidth="9" defaultRowHeight="13.5" outlineLevelCol="5"/>
  <cols>
    <col min="1" max="1" width="5.3716814159292" style="90" customWidth="1"/>
    <col min="2" max="2" width="20.3716814159292" style="144" customWidth="1"/>
    <col min="3" max="3" width="7" style="144" customWidth="1"/>
    <col min="4" max="4" width="10.8761061946903" style="144" customWidth="1"/>
    <col min="5" max="5" width="10.3716814159292" style="145" customWidth="1"/>
    <col min="6" max="6" width="91" style="144" customWidth="1"/>
    <col min="7" max="7" width="15.6283185840708"/>
  </cols>
  <sheetData>
    <row r="1" spans="1:6">
      <c r="A1" s="146" t="s">
        <v>26</v>
      </c>
      <c r="B1" s="147" t="s">
        <v>47</v>
      </c>
      <c r="C1" s="147" t="s">
        <v>46</v>
      </c>
      <c r="D1" s="147" t="s">
        <v>145</v>
      </c>
      <c r="E1" s="148" t="s">
        <v>10</v>
      </c>
      <c r="F1" s="147" t="s">
        <v>40</v>
      </c>
    </row>
  </sheetData>
  <conditionalFormatting sqref="D$1:D$1048576">
    <cfRule type="containsText" dxfId="2" priority="165" operator="between" text="扣">
      <formula>NOT(ISERROR(SEARCH("扣",D1)))</formula>
    </cfRule>
    <cfRule type="containsText" dxfId="3" priority="166" operator="between" text="补">
      <formula>NOT(ISERROR(SEARCH("补",D1)))</formula>
    </cfRule>
    <cfRule type="containsText" dxfId="2" priority="167" operator="between" text="减">
      <formula>NOT(ISERROR(SEARCH("减",D1)))</formula>
    </cfRule>
    <cfRule type="containsText" dxfId="3" priority="168" operator="between" text="增">
      <formula>NOT(ISERROR(SEARCH("增",D1)))</formula>
    </cfRule>
  </conditionalFormatting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B1048500"/>
  <sheetViews>
    <sheetView zoomScale="70" zoomScaleNormal="70" workbookViewId="0">
      <pane xSplit="3" ySplit="1" topLeftCell="D2" activePane="bottomRight" state="frozen"/>
      <selection/>
      <selection pane="topRight"/>
      <selection pane="bottomLeft"/>
      <selection pane="bottomRight" activeCell="A2" sqref="$A2:$XFD75"/>
    </sheetView>
  </sheetViews>
  <sheetFormatPr defaultColWidth="9" defaultRowHeight="15"/>
  <cols>
    <col min="1" max="1" width="4.3716814159292" style="128" customWidth="1"/>
    <col min="2" max="2" width="22.8761061946903" style="129" customWidth="1"/>
    <col min="3" max="3" width="7" style="130" customWidth="1"/>
    <col min="4" max="4" width="8.12389380530973" style="130" customWidth="1"/>
    <col min="5" max="5" width="37.8761061946903" style="130" customWidth="1"/>
    <col min="6" max="6" width="19.1238938053097" style="130" customWidth="1"/>
    <col min="7" max="7" width="12.8761061946903" style="129" customWidth="1"/>
    <col min="8" max="8" width="10.8761061946903" style="130" customWidth="1"/>
    <col min="9" max="9" width="22" style="130" customWidth="1"/>
    <col min="10" max="10" width="4.3716814159292" style="130" customWidth="1"/>
    <col min="11" max="11" width="8.12389380530973" style="130" customWidth="1"/>
    <col min="12" max="12" width="10.8761061946903" style="130" customWidth="1"/>
    <col min="13" max="13" width="12.6283185840708" style="130" customWidth="1"/>
    <col min="14" max="15" width="12.1238938053097" style="131" customWidth="1"/>
    <col min="16" max="16" width="10.8761061946903" style="131" customWidth="1"/>
    <col min="17" max="17" width="14.1238938053097" style="130" customWidth="1"/>
    <col min="18" max="18" width="24.1238938053097" style="129" customWidth="1"/>
    <col min="19" max="19" width="37.8761061946903" style="130" customWidth="1"/>
    <col min="20" max="20" width="12.3716814159292" style="132" customWidth="1"/>
    <col min="21" max="21" width="12.8761061946903" style="133" customWidth="1"/>
    <col min="22" max="22" width="9.50442477876106" style="132" customWidth="1"/>
    <col min="23" max="23" width="10.5044247787611" style="133" customWidth="1"/>
    <col min="24" max="25" width="11.2477876106195" style="134" customWidth="1"/>
    <col min="26" max="26" width="14.8761061946903" style="134" customWidth="1"/>
    <col min="27" max="27" width="11.2477876106195" style="135" customWidth="1"/>
    <col min="28" max="28" width="26.5044247787611" style="134" customWidth="1"/>
    <col min="29" max="31" width="9" style="134"/>
    <col min="32" max="32" width="9.3716814159292" style="134"/>
    <col min="33" max="16384" width="9" style="134"/>
  </cols>
  <sheetData>
    <row r="1" s="127" customFormat="1" ht="22.5" customHeight="1" spans="1:28">
      <c r="A1" s="136" t="s">
        <v>26</v>
      </c>
      <c r="B1" s="137" t="s">
        <v>146</v>
      </c>
      <c r="C1" s="137" t="s">
        <v>46</v>
      </c>
      <c r="D1" s="137" t="s">
        <v>45</v>
      </c>
      <c r="E1" s="137" t="s">
        <v>147</v>
      </c>
      <c r="F1" s="136" t="s">
        <v>51</v>
      </c>
      <c r="G1" s="137" t="s">
        <v>52</v>
      </c>
      <c r="H1" s="136" t="s">
        <v>53</v>
      </c>
      <c r="I1" s="136" t="s">
        <v>148</v>
      </c>
      <c r="J1" s="137" t="s">
        <v>56</v>
      </c>
      <c r="K1" s="137" t="s">
        <v>149</v>
      </c>
      <c r="L1" s="137" t="s">
        <v>150</v>
      </c>
      <c r="M1" s="137" t="s">
        <v>151</v>
      </c>
      <c r="N1" s="138" t="s">
        <v>152</v>
      </c>
      <c r="O1" s="138" t="s">
        <v>49</v>
      </c>
      <c r="P1" s="138" t="s">
        <v>153</v>
      </c>
      <c r="Q1" s="136" t="s">
        <v>154</v>
      </c>
      <c r="R1" s="137" t="s">
        <v>43</v>
      </c>
      <c r="S1" s="137" t="s">
        <v>44</v>
      </c>
      <c r="T1" s="139" t="s">
        <v>155</v>
      </c>
      <c r="U1" s="140" t="s">
        <v>156</v>
      </c>
      <c r="V1" s="139" t="s">
        <v>157</v>
      </c>
      <c r="W1" s="140" t="s">
        <v>106</v>
      </c>
      <c r="X1" s="139" t="s">
        <v>55</v>
      </c>
      <c r="Y1" s="139" t="s">
        <v>158</v>
      </c>
      <c r="Z1" s="139" t="s">
        <v>40</v>
      </c>
      <c r="AA1" s="141" t="s">
        <v>28</v>
      </c>
      <c r="AB1" s="142" t="s">
        <v>159</v>
      </c>
    </row>
    <row r="3" spans="1:28">
      <c r="B3" s="143"/>
    </row>
    <row r="1048436" s="128" customFormat="1"/>
    <row r="1048437" s="128" customFormat="1"/>
    <row r="1048438" s="128" customFormat="1"/>
    <row r="1048439" s="128" customFormat="1"/>
    <row r="1048440" s="128" customFormat="1"/>
    <row r="1048441" s="128" customFormat="1"/>
    <row r="1048442" s="128" customFormat="1"/>
    <row r="1048443" s="128" customFormat="1"/>
    <row r="1048444" s="128" customFormat="1"/>
    <row r="1048445" s="128" customFormat="1"/>
    <row r="1048446" s="128" customFormat="1"/>
    <row r="1048447" s="128" customFormat="1"/>
    <row r="1048448" s="128" customFormat="1"/>
    <row r="1048449" s="128" customFormat="1"/>
    <row r="1048450" s="128" customFormat="1"/>
    <row r="1048451" s="128" customFormat="1"/>
    <row r="1048452" s="128" customFormat="1"/>
    <row r="1048453" s="128" customFormat="1"/>
    <row r="1048454" s="128" customFormat="1"/>
    <row r="1048455" s="128" customFormat="1"/>
    <row r="1048456" s="128" customFormat="1"/>
    <row r="1048457" s="128" customFormat="1"/>
    <row r="1048458" s="128" customFormat="1"/>
    <row r="1048459" s="128" customFormat="1"/>
    <row r="1048460" s="128" customFormat="1"/>
    <row r="1048461" s="128" customFormat="1"/>
    <row r="1048462" s="128" customFormat="1"/>
    <row r="1048463" s="128" customFormat="1"/>
    <row r="1048464" s="128" customFormat="1"/>
    <row r="1048465" s="128" customFormat="1"/>
    <row r="1048466" s="128" customFormat="1"/>
    <row r="1048467" s="128" customFormat="1"/>
    <row r="1048468" s="128" customFormat="1"/>
    <row r="1048469" s="128" customFormat="1"/>
    <row r="1048470" s="128" customFormat="1"/>
    <row r="1048471" s="128" customFormat="1"/>
    <row r="1048472" s="128" customFormat="1"/>
    <row r="1048473" s="128" customFormat="1"/>
    <row r="1048474" s="128" customFormat="1"/>
    <row r="1048475" s="128" customFormat="1"/>
    <row r="1048476" s="128" customFormat="1"/>
    <row r="1048477" s="128" customFormat="1"/>
    <row r="1048478" s="128" customFormat="1"/>
    <row r="1048479" s="128" customFormat="1"/>
    <row r="1048480" s="128" customFormat="1"/>
    <row r="1048481" s="128" customFormat="1"/>
    <row r="1048482" s="128" customFormat="1"/>
    <row r="1048483" s="128" customFormat="1"/>
    <row r="1048484" s="128" customFormat="1"/>
    <row r="1048485" s="128" customFormat="1"/>
    <row r="1048486" s="128" customFormat="1"/>
    <row r="1048487" s="128" customFormat="1"/>
    <row r="1048488" s="128" customFormat="1"/>
    <row r="1048489" s="128" customFormat="1"/>
    <row r="1048490" s="128" customFormat="1"/>
    <row r="1048491" s="128" customFormat="1"/>
    <row r="1048492" s="128" customFormat="1"/>
    <row r="1048493" s="128" customFormat="1"/>
    <row r="1048494" s="128" customFormat="1"/>
    <row r="1048495" s="128" customFormat="1"/>
    <row r="1048496" s="128" customFormat="1"/>
    <row r="1048497" s="128" customFormat="1"/>
    <row r="1048498" s="128" customFormat="1"/>
    <row r="1048499" s="128" customFormat="1"/>
    <row r="1048500" s="128" customFormat="1"/>
  </sheetData>
  <conditionalFormatting sqref="A1">
    <cfRule type="duplicateValues" dxfId="4" priority="12"/>
    <cfRule type="duplicateValues" dxfId="0" priority="13"/>
  </conditionalFormatting>
  <conditionalFormatting sqref="B1:C1">
    <cfRule type="duplicateValues" dxfId="4" priority="17"/>
    <cfRule type="duplicateValues" dxfId="0" priority="18"/>
  </conditionalFormatting>
  <conditionalFormatting sqref="C1">
    <cfRule type="duplicateValues" dxfId="0" priority="16"/>
  </conditionalFormatting>
  <conditionalFormatting sqref="I1">
    <cfRule type="duplicateValues" dxfId="0" priority="3"/>
    <cfRule type="duplicateValues" dxfId="4" priority="2"/>
  </conditionalFormatting>
  <conditionalFormatting sqref="O1">
    <cfRule type="duplicateValues" dxfId="0" priority="5"/>
    <cfRule type="duplicateValues" dxfId="4" priority="4"/>
  </conditionalFormatting>
  <conditionalFormatting sqref="P1">
    <cfRule type="duplicateValues" dxfId="0" priority="7"/>
    <cfRule type="duplicateValues" dxfId="4" priority="6"/>
  </conditionalFormatting>
  <conditionalFormatting sqref="C$1:C$1048576">
    <cfRule type="duplicateValues" dxfId="0" priority="1"/>
  </conditionalFormatting>
  <conditionalFormatting sqref="D1:H1 J1:N1 Q1:S1">
    <cfRule type="duplicateValues" dxfId="4" priority="19"/>
    <cfRule type="duplicateValues" dxfId="0" priority="20"/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XFD2"/>
  <sheetViews>
    <sheetView zoomScale="85" zoomScaleNormal="85" workbookViewId="0">
      <pane xSplit="3" ySplit="2" topLeftCell="D3" activePane="bottomRight" state="frozen"/>
      <selection/>
      <selection pane="topRight"/>
      <selection pane="bottomLeft"/>
      <selection pane="bottomRight" activeCell="A3" sqref="$A3:$XFD72"/>
    </sheetView>
  </sheetViews>
  <sheetFormatPr defaultColWidth="9" defaultRowHeight="13.5" outlineLevelRow="1"/>
  <cols>
    <col min="1" max="1" width="3.87610619469027" style="116" customWidth="1"/>
    <col min="2" max="2" width="12.8761061946903" style="117" customWidth="1"/>
    <col min="3" max="3" width="20.3716814159292" style="117" customWidth="1"/>
    <col min="4" max="4" width="7.12389380530973" style="118" customWidth="1"/>
    <col min="5" max="5" width="9" style="117"/>
    <col min="6" max="6" width="7.12389380530973" style="117" customWidth="1"/>
    <col min="7" max="7" width="12" style="117" customWidth="1"/>
    <col min="8" max="10" width="11.5044247787611" style="117" customWidth="1"/>
    <col min="11" max="12" width="9.3716814159292" style="117" customWidth="1"/>
    <col min="13" max="13" width="8.3716814159292" style="117" customWidth="1"/>
    <col min="14" max="15" width="9" style="117"/>
    <col min="16" max="16" width="10.5044247787611" style="117" customWidth="1"/>
    <col min="17" max="17" width="11.6283185840708" style="117" customWidth="1"/>
    <col min="18" max="18" width="11.646017699115" style="117" customWidth="1"/>
    <col min="19" max="19" width="11.8141592920354" style="117"/>
    <col min="20" max="20" width="9.3716814159292" style="117"/>
    <col min="21" max="21" width="9" style="117"/>
    <col min="22" max="22" width="9.3716814159292" style="117"/>
    <col min="23" max="23" width="9" style="117"/>
    <col min="24" max="24" width="9.53097345132743" style="117"/>
    <col min="25" max="25" width="9.3716814159292" style="117"/>
    <col min="26" max="16384" width="9" style="117"/>
  </cols>
  <sheetData>
    <row r="1" s="115" customFormat="1" spans="1:26 16384:16384">
      <c r="A1" s="119" t="s">
        <v>26</v>
      </c>
      <c r="B1" s="120" t="s">
        <v>46</v>
      </c>
      <c r="C1" s="121" t="s">
        <v>160</v>
      </c>
      <c r="D1" s="121" t="s">
        <v>161</v>
      </c>
      <c r="E1" s="120" t="s">
        <v>162</v>
      </c>
      <c r="F1" s="120" t="s">
        <v>163</v>
      </c>
      <c r="G1" s="120" t="s">
        <v>164</v>
      </c>
      <c r="H1" s="120" t="s">
        <v>165</v>
      </c>
      <c r="I1" s="122"/>
      <c r="J1" s="120" t="s">
        <v>166</v>
      </c>
      <c r="K1" s="122"/>
      <c r="L1" s="120" t="s">
        <v>167</v>
      </c>
      <c r="M1" s="122"/>
      <c r="N1" s="120" t="s">
        <v>168</v>
      </c>
      <c r="O1" s="120" t="s">
        <v>169</v>
      </c>
      <c r="P1" s="120" t="s">
        <v>170</v>
      </c>
      <c r="Q1" s="122"/>
      <c r="R1" s="120" t="s">
        <v>171</v>
      </c>
      <c r="S1" s="120"/>
      <c r="T1" s="120" t="s">
        <v>172</v>
      </c>
      <c r="U1" s="120" t="s">
        <v>173</v>
      </c>
      <c r="V1" s="120" t="s">
        <v>174</v>
      </c>
      <c r="W1" s="120" t="s">
        <v>175</v>
      </c>
      <c r="X1" s="120" t="s">
        <v>176</v>
      </c>
      <c r="Y1" s="120" t="s">
        <v>20</v>
      </c>
      <c r="Z1" s="120" t="s">
        <v>40</v>
      </c>
      <c r="XFD1" s="123"/>
    </row>
    <row r="2" s="115" customFormat="1" spans="1:26 16384:16384">
      <c r="A2" s="124"/>
      <c r="B2" s="122"/>
      <c r="C2" s="125"/>
      <c r="D2" s="125"/>
      <c r="E2" s="122"/>
      <c r="F2" s="122"/>
      <c r="G2" s="122"/>
      <c r="H2" s="126" t="s">
        <v>177</v>
      </c>
      <c r="I2" s="126" t="s">
        <v>178</v>
      </c>
      <c r="J2" s="126" t="s">
        <v>177</v>
      </c>
      <c r="K2" s="126" t="s">
        <v>178</v>
      </c>
      <c r="L2" s="126" t="s">
        <v>177</v>
      </c>
      <c r="M2" s="126" t="s">
        <v>178</v>
      </c>
      <c r="N2" s="122"/>
      <c r="O2" s="122"/>
      <c r="P2" s="126" t="s">
        <v>177</v>
      </c>
      <c r="Q2" s="126" t="s">
        <v>178</v>
      </c>
      <c r="R2" s="126" t="s">
        <v>177</v>
      </c>
      <c r="S2" s="126" t="s">
        <v>178</v>
      </c>
      <c r="T2" s="122"/>
      <c r="U2" s="122"/>
      <c r="V2" s="122"/>
      <c r="W2" s="120"/>
      <c r="X2" s="120"/>
      <c r="Y2" s="120"/>
      <c r="Z2" s="122"/>
      <c r="XFD2" s="123"/>
    </row>
  </sheetData>
  <mergeCells count="21">
    <mergeCell ref="H1:I1"/>
    <mergeCell ref="J1:K1"/>
    <mergeCell ref="L1:M1"/>
    <mergeCell ref="P1:Q1"/>
    <mergeCell ref="R1:S1"/>
    <mergeCell ref="A1:A2"/>
    <mergeCell ref="B1:B2"/>
    <mergeCell ref="C1:C2"/>
    <mergeCell ref="D1:D2"/>
    <mergeCell ref="E1:E2"/>
    <mergeCell ref="F1:F2"/>
    <mergeCell ref="G1:G2"/>
    <mergeCell ref="N1:N2"/>
    <mergeCell ref="O1:O2"/>
    <mergeCell ref="T1:T2"/>
    <mergeCell ref="U1:U2"/>
    <mergeCell ref="V1:V2"/>
    <mergeCell ref="W1:W2"/>
    <mergeCell ref="X1:X2"/>
    <mergeCell ref="Y1:Y2"/>
    <mergeCell ref="Z1:Z2"/>
  </mergeCells>
  <conditionalFormatting sqref="B1:B2">
    <cfRule type="duplicateValues" dxfId="0" priority="2"/>
  </conditionalFormatting>
  <conditionalFormatting sqref="C1:D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F10"/>
  <sheetViews>
    <sheetView workbookViewId="0">
      <selection activeCell="D6" sqref="D6"/>
    </sheetView>
  </sheetViews>
  <sheetFormatPr defaultColWidth="9" defaultRowHeight="13.5" outlineLevelCol="5"/>
  <cols>
    <col min="1" max="1" width="37.8761061946903" customWidth="1"/>
    <col min="2" max="3" width="9.87610619469027" style="90" customWidth="1"/>
    <col min="4" max="4" width="18.2477876106195" style="90" customWidth="1"/>
    <col min="5" max="5" width="13.3716814159292" style="90" customWidth="1"/>
    <col min="6" max="8" width="9" style="90"/>
  </cols>
  <sheetData>
    <row r="1" spans="1:6">
      <c r="A1" s="111" t="s">
        <v>179</v>
      </c>
      <c r="B1" s="112" t="s">
        <v>180</v>
      </c>
      <c r="C1" s="112" t="s">
        <v>181</v>
      </c>
      <c r="D1" s="112" t="s">
        <v>182</v>
      </c>
      <c r="E1" s="100" t="s">
        <v>40</v>
      </c>
    </row>
    <row r="2" spans="1:6">
      <c r="A2" s="75" t="s">
        <v>183</v>
      </c>
      <c r="B2" s="113" t="s">
        <v>11</v>
      </c>
      <c r="C2" s="113" t="s">
        <v>21</v>
      </c>
      <c r="D2" s="113">
        <v>2540</v>
      </c>
      <c r="E2" s="75"/>
      <c r="F2" s="90" t="s">
        <v>184</v>
      </c>
    </row>
    <row r="3" spans="1:6">
      <c r="A3" s="75" t="s">
        <v>185</v>
      </c>
      <c r="B3" s="113" t="s">
        <v>21</v>
      </c>
      <c r="C3" s="113" t="s">
        <v>21</v>
      </c>
      <c r="D3" s="113">
        <v>2540</v>
      </c>
      <c r="E3" s="75"/>
    </row>
    <row r="4" spans="1:6">
      <c r="A4" s="75" t="s">
        <v>186</v>
      </c>
      <c r="B4" s="113" t="s">
        <v>13</v>
      </c>
      <c r="C4" s="113" t="s">
        <v>13</v>
      </c>
      <c r="D4" s="113">
        <v>2330</v>
      </c>
      <c r="E4" s="100"/>
    </row>
    <row r="5" spans="1:6">
      <c r="A5" s="75" t="s">
        <v>187</v>
      </c>
      <c r="B5" s="113" t="s">
        <v>15</v>
      </c>
      <c r="C5" s="113" t="s">
        <v>15</v>
      </c>
      <c r="D5" s="114">
        <v>2660</v>
      </c>
      <c r="E5" s="100" t="s">
        <v>188</v>
      </c>
    </row>
    <row r="6" spans="1:6">
      <c r="A6" s="75" t="s">
        <v>189</v>
      </c>
      <c r="B6" s="113" t="s">
        <v>17</v>
      </c>
      <c r="C6" s="113" t="s">
        <v>17</v>
      </c>
      <c r="D6" s="113">
        <v>2520</v>
      </c>
      <c r="E6" s="100"/>
    </row>
    <row r="7" spans="1:6">
      <c r="A7" s="75" t="s">
        <v>190</v>
      </c>
      <c r="B7" s="113" t="s">
        <v>19</v>
      </c>
      <c r="C7" s="113" t="s">
        <v>19</v>
      </c>
      <c r="D7" s="113">
        <v>2400</v>
      </c>
      <c r="E7" s="100"/>
    </row>
    <row r="8" spans="1:6">
      <c r="A8" s="75"/>
      <c r="B8" s="113" t="s">
        <v>191</v>
      </c>
      <c r="C8" s="113" t="s">
        <v>191</v>
      </c>
      <c r="D8" s="113">
        <v>2500</v>
      </c>
      <c r="E8" s="100"/>
    </row>
    <row r="9" spans="1:6">
      <c r="A9" s="75"/>
      <c r="B9" s="113" t="s">
        <v>192</v>
      </c>
      <c r="C9" s="113" t="s">
        <v>193</v>
      </c>
      <c r="D9" s="113">
        <v>2200</v>
      </c>
      <c r="E9" s="100"/>
    </row>
    <row r="10" spans="1:6">
      <c r="A10" s="75" t="s">
        <v>194</v>
      </c>
      <c r="B10" s="113" t="s">
        <v>195</v>
      </c>
      <c r="C10" s="113" t="s">
        <v>21</v>
      </c>
      <c r="D10" s="113">
        <v>2540</v>
      </c>
      <c r="E10" s="75"/>
    </row>
  </sheetData>
  <autoFilter xmlns:etc="http://www.wps.cn/officeDocument/2017/etCustomData" ref="A1:H10" etc:filterBottomFollowUsedRange="0"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"/>
  <sheetViews>
    <sheetView zoomScale="80" zoomScaleNormal="80" workbookViewId="0">
      <selection activeCell="A2" sqref="$A2:$XFD75"/>
    </sheetView>
  </sheetViews>
  <sheetFormatPr defaultColWidth="9" defaultRowHeight="13.5"/>
  <cols>
    <col min="1" max="1" width="20.3716814159292" customWidth="1"/>
    <col min="2" max="2" width="7" customWidth="1"/>
    <col min="3" max="4" width="12.8761061946903" style="90" customWidth="1"/>
    <col min="5" max="5" width="15" style="90" customWidth="1"/>
    <col min="6" max="6" width="12.8761061946903" style="90" customWidth="1"/>
    <col min="7" max="7" width="11.8761061946903" style="90" customWidth="1"/>
    <col min="8" max="8" width="5.12389380530973" style="90" customWidth="1"/>
    <col min="9" max="9" width="27.5044247787611" style="90" customWidth="1"/>
    <col min="10" max="10" width="10.8761061946903" style="90" customWidth="1"/>
    <col min="11" max="12" width="12.8761061946903" style="90" customWidth="1"/>
    <col min="13" max="13" width="9.3716814159292" style="90" customWidth="1"/>
    <col min="14" max="14" width="8.87610619469027" style="90" customWidth="1"/>
    <col min="15" max="15" width="17.1238938053097" style="90" customWidth="1"/>
    <col min="16" max="16" width="12.8761061946903" style="90" customWidth="1"/>
    <col min="17" max="17" width="15" style="90" customWidth="1"/>
    <col min="18" max="20" width="8.3716814159292" style="90" customWidth="1"/>
    <col min="21" max="21" width="9.3716814159292" style="90" customWidth="1"/>
    <col min="22" max="22" width="54.1238938053097" style="90" customWidth="1"/>
    <col min="23" max="24" width="14" style="90" customWidth="1"/>
    <col min="25" max="25" width="14" style="108" customWidth="1"/>
  </cols>
  <sheetData>
    <row r="1" ht="27.75" spans="1:24">
      <c r="A1" t="s">
        <v>47</v>
      </c>
      <c r="B1" s="109" t="s">
        <v>46</v>
      </c>
      <c r="C1" s="109" t="s">
        <v>196</v>
      </c>
      <c r="D1" s="109" t="s">
        <v>197</v>
      </c>
      <c r="E1" s="109" t="s">
        <v>198</v>
      </c>
      <c r="F1" s="109" t="s">
        <v>73</v>
      </c>
      <c r="G1" s="110" t="s">
        <v>199</v>
      </c>
      <c r="H1" s="109" t="s">
        <v>200</v>
      </c>
      <c r="I1" s="109" t="s">
        <v>201</v>
      </c>
      <c r="J1" s="109" t="s">
        <v>202</v>
      </c>
      <c r="K1" s="109" t="s">
        <v>65</v>
      </c>
      <c r="L1" s="109" t="s">
        <v>69</v>
      </c>
      <c r="M1" s="109" t="s">
        <v>203</v>
      </c>
      <c r="N1" s="109" t="s">
        <v>204</v>
      </c>
      <c r="O1" s="109" t="s">
        <v>34</v>
      </c>
      <c r="P1" s="109" t="s">
        <v>205</v>
      </c>
      <c r="Q1" s="109" t="s">
        <v>206</v>
      </c>
      <c r="R1" s="109" t="s">
        <v>3</v>
      </c>
      <c r="S1" s="109" t="s">
        <v>36</v>
      </c>
      <c r="T1" s="109" t="s">
        <v>37</v>
      </c>
      <c r="U1" s="109" t="s">
        <v>2</v>
      </c>
      <c r="V1" s="109" t="s">
        <v>40</v>
      </c>
      <c r="W1" s="90" t="s">
        <v>207</v>
      </c>
      <c r="X1" s="90" t="s">
        <v>208</v>
      </c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K78"/>
  <sheetViews>
    <sheetView topLeftCell="G1" workbookViewId="0">
      <selection activeCell="AH4" sqref="$A4:$XFD4"/>
    </sheetView>
  </sheetViews>
  <sheetFormatPr defaultColWidth="9" defaultRowHeight="13.5"/>
  <cols>
    <col min="1" max="1" width="2.87610619469027" customWidth="1"/>
    <col min="2" max="2" width="4.12389380530973" customWidth="1"/>
    <col min="4" max="4" width="11.6283185840708" customWidth="1"/>
    <col min="15" max="28" width="9" hidden="1" customWidth="1"/>
    <col min="50" max="50" width="14.5044247787611" style="90"/>
    <col min="51" max="51" width="9" style="90"/>
    <col min="52" max="52" width="9.3716814159292" style="90"/>
    <col min="53" max="60" width="9" style="90"/>
    <col min="61" max="61" width="14.5044247787611" style="90"/>
    <col min="62" max="62" width="9" style="90"/>
    <col min="63" max="63" width="15.6283185840708"/>
  </cols>
  <sheetData>
    <row r="1" spans="1:63">
      <c r="A1" t="s">
        <v>209</v>
      </c>
      <c r="B1" s="90"/>
      <c r="D1" s="90">
        <v>8</v>
      </c>
      <c r="E1" t="s">
        <v>210</v>
      </c>
      <c r="BK1" s="77">
        <v>46235</v>
      </c>
    </row>
    <row r="2" spans="1:63">
      <c r="A2" s="83" t="s">
        <v>26</v>
      </c>
      <c r="B2" s="101" t="s">
        <v>46</v>
      </c>
      <c r="C2" s="83" t="s">
        <v>211</v>
      </c>
      <c r="D2" s="101" t="s">
        <v>212</v>
      </c>
      <c r="E2" s="83" t="s">
        <v>213</v>
      </c>
      <c r="F2" s="101" t="s">
        <v>214</v>
      </c>
      <c r="G2" s="83" t="s">
        <v>215</v>
      </c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 t="s">
        <v>216</v>
      </c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 t="s">
        <v>217</v>
      </c>
      <c r="AO2" s="83" t="s">
        <v>218</v>
      </c>
      <c r="AP2" s="83" t="s">
        <v>219</v>
      </c>
      <c r="AQ2" s="83"/>
      <c r="AR2" s="83"/>
      <c r="AS2" s="83"/>
      <c r="AT2" s="83"/>
      <c r="AU2" s="83"/>
      <c r="AV2" s="83"/>
      <c r="AW2" s="83" t="s">
        <v>40</v>
      </c>
      <c r="AX2" s="102" t="s">
        <v>216</v>
      </c>
      <c r="AY2" s="102"/>
      <c r="AZ2" s="102"/>
      <c r="BA2" s="102"/>
      <c r="BB2" s="102"/>
      <c r="BC2" s="102"/>
      <c r="BD2" s="102"/>
      <c r="BE2" s="102"/>
      <c r="BF2" s="102"/>
      <c r="BG2" s="102"/>
      <c r="BH2" s="102"/>
    </row>
    <row r="3" spans="1:63">
      <c r="A3" s="83"/>
      <c r="B3" s="101"/>
      <c r="C3" s="83"/>
      <c r="D3" s="101"/>
      <c r="E3" s="83"/>
      <c r="F3" s="101"/>
      <c r="G3" s="83" t="s">
        <v>220</v>
      </c>
      <c r="H3" s="83"/>
      <c r="I3" s="83"/>
      <c r="J3" s="83" t="s">
        <v>221</v>
      </c>
      <c r="K3" s="83" t="s">
        <v>222</v>
      </c>
      <c r="L3" s="83"/>
      <c r="M3" s="83"/>
      <c r="N3" s="83"/>
      <c r="O3" s="83" t="s">
        <v>223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 t="s">
        <v>224</v>
      </c>
      <c r="AD3" s="83" t="s">
        <v>225</v>
      </c>
      <c r="AE3" s="83" t="s">
        <v>226</v>
      </c>
      <c r="AF3" s="83" t="s">
        <v>227</v>
      </c>
      <c r="AG3" s="83"/>
      <c r="AH3" s="83"/>
      <c r="AI3" s="83"/>
      <c r="AJ3" s="83"/>
      <c r="AK3" s="83"/>
      <c r="AL3" s="103" t="s">
        <v>228</v>
      </c>
      <c r="AM3" s="101" t="s">
        <v>229</v>
      </c>
      <c r="AN3" s="83"/>
      <c r="AO3" s="83"/>
      <c r="AP3" s="83" t="s">
        <v>230</v>
      </c>
      <c r="AQ3" s="104" t="s">
        <v>231</v>
      </c>
      <c r="AR3" s="104" t="s">
        <v>232</v>
      </c>
      <c r="AS3" s="104" t="s">
        <v>233</v>
      </c>
      <c r="AT3" s="83" t="s">
        <v>234</v>
      </c>
      <c r="AU3" s="101" t="s">
        <v>235</v>
      </c>
      <c r="AV3" s="104" t="s">
        <v>236</v>
      </c>
      <c r="AW3" s="83"/>
      <c r="AX3" s="102" t="s">
        <v>224</v>
      </c>
      <c r="AY3" s="102" t="s">
        <v>225</v>
      </c>
      <c r="AZ3" s="102" t="s">
        <v>226</v>
      </c>
      <c r="BA3" s="102" t="s">
        <v>227</v>
      </c>
      <c r="BB3" s="102"/>
      <c r="BC3" s="102"/>
      <c r="BD3" s="102"/>
      <c r="BE3" s="102"/>
      <c r="BF3" s="102"/>
      <c r="BG3" s="105" t="s">
        <v>228</v>
      </c>
      <c r="BH3" s="102" t="s">
        <v>229</v>
      </c>
    </row>
    <row r="4" ht="19.5" spans="1:63">
      <c r="A4" s="83"/>
      <c r="B4" s="101"/>
      <c r="C4" s="83"/>
      <c r="D4" s="101"/>
      <c r="E4" s="83"/>
      <c r="F4" s="101"/>
      <c r="G4" s="83" t="s">
        <v>237</v>
      </c>
      <c r="H4" s="83" t="s">
        <v>238</v>
      </c>
      <c r="I4" s="101" t="s">
        <v>239</v>
      </c>
      <c r="J4" s="83"/>
      <c r="K4" s="85" t="s">
        <v>240</v>
      </c>
      <c r="L4" s="83" t="s">
        <v>241</v>
      </c>
      <c r="M4" s="83" t="s">
        <v>242</v>
      </c>
      <c r="N4" s="83" t="s">
        <v>243</v>
      </c>
      <c r="O4" s="83" t="s">
        <v>244</v>
      </c>
      <c r="P4" s="83" t="s">
        <v>245</v>
      </c>
      <c r="Q4" s="83" t="s">
        <v>246</v>
      </c>
      <c r="R4" s="83" t="s">
        <v>247</v>
      </c>
      <c r="S4" s="83" t="s">
        <v>248</v>
      </c>
      <c r="T4" s="83" t="s">
        <v>249</v>
      </c>
      <c r="U4" s="83" t="s">
        <v>250</v>
      </c>
      <c r="V4" s="83" t="s">
        <v>251</v>
      </c>
      <c r="W4" s="83" t="s">
        <v>252</v>
      </c>
      <c r="X4" s="83" t="s">
        <v>253</v>
      </c>
      <c r="Y4" s="83" t="s">
        <v>254</v>
      </c>
      <c r="Z4" s="83" t="s">
        <v>255</v>
      </c>
      <c r="AA4" s="83" t="s">
        <v>256</v>
      </c>
      <c r="AB4" s="83" t="s">
        <v>257</v>
      </c>
      <c r="AC4" s="83"/>
      <c r="AD4" s="83"/>
      <c r="AE4" s="83"/>
      <c r="AF4" s="83" t="s">
        <v>258</v>
      </c>
      <c r="AG4" s="83" t="s">
        <v>259</v>
      </c>
      <c r="AH4" s="83" t="s">
        <v>260</v>
      </c>
      <c r="AI4" s="83" t="s">
        <v>261</v>
      </c>
      <c r="AJ4" s="83" t="s">
        <v>262</v>
      </c>
      <c r="AK4" s="83" t="s">
        <v>263</v>
      </c>
      <c r="AL4" s="106"/>
      <c r="AM4" s="101"/>
      <c r="AN4" s="83"/>
      <c r="AO4" s="83"/>
      <c r="AP4" s="83"/>
      <c r="AQ4" s="104"/>
      <c r="AR4" s="104"/>
      <c r="AS4" s="104"/>
      <c r="AT4" s="83"/>
      <c r="AU4" s="101"/>
      <c r="AV4" s="104"/>
      <c r="AW4" s="83"/>
      <c r="AX4" s="102"/>
      <c r="AY4" s="102"/>
      <c r="AZ4" s="102"/>
      <c r="BA4" s="102" t="s">
        <v>258</v>
      </c>
      <c r="BB4" s="102" t="s">
        <v>259</v>
      </c>
      <c r="BC4" s="102" t="s">
        <v>260</v>
      </c>
      <c r="BD4" s="102" t="s">
        <v>261</v>
      </c>
      <c r="BE4" s="102" t="s">
        <v>262</v>
      </c>
      <c r="BF4" s="102" t="s">
        <v>263</v>
      </c>
      <c r="BG4" s="107"/>
      <c r="BH4" s="102"/>
      <c r="BI4" s="90" t="s">
        <v>264</v>
      </c>
      <c r="BJ4" s="90" t="s">
        <v>265</v>
      </c>
      <c r="BK4" t="s">
        <v>266</v>
      </c>
    </row>
    <row r="5" ht="19.5" hidden="1" spans="1:63">
      <c r="A5" s="87"/>
      <c r="B5" s="87" t="s">
        <v>267</v>
      </c>
      <c r="C5" s="87" t="s">
        <v>268</v>
      </c>
      <c r="D5" s="87" t="s">
        <v>269</v>
      </c>
      <c r="E5" s="87" t="s">
        <v>270</v>
      </c>
      <c r="F5" s="87" t="s">
        <v>271</v>
      </c>
      <c r="G5" s="89" t="e" cm="1">
        <f t="array" ref="G5">_xlfn.IFS(F5="正常工资薪金",VLOOKUP(D5&amp;"*",工资表明细!D:BL,61,0),F5="一般劳务报酬所得",VLOOKUP(D5&amp;"*",工资表明细!D:BJ,59,0),F5="全年一次性奖金收入",VLOOKUP(D5&amp;"*",工资表明细!D:BI,58,0),F5="解除劳动合同一次性补偿金",VLOOKUP(D5&amp;"*",工资表明细!D:BH,57,0))</f>
        <v>#N/A</v>
      </c>
      <c r="H5" s="89">
        <f t="shared" ref="H5:H68" si="0">IF(F5="一般劳务报酬所得",800,0)</f>
        <v>0</v>
      </c>
      <c r="I5" s="89">
        <v>0</v>
      </c>
      <c r="J5" s="89">
        <f t="shared" ref="J5:J68" si="1">IF(F5="正常工资薪金",5000,0)</f>
        <v>5000</v>
      </c>
      <c r="K5" s="89" t="e">
        <f>IF(F5="正常工资薪金",VLOOKUP(D5&amp;"*",工资表明细!D:AP,39,0),0)</f>
        <v>#N/A</v>
      </c>
      <c r="L5" s="89" t="e">
        <f>IF(F5="正常工资薪金",VLOOKUP(D5&amp;"*",工资表明细!D:AQ,40,0),0)</f>
        <v>#N/A</v>
      </c>
      <c r="M5" s="89" t="e">
        <f>IF(F5="正常工资薪金",VLOOKUP(D5&amp;"*",工资表明细!D:AR,41,0),0)</f>
        <v>#N/A</v>
      </c>
      <c r="N5" s="89" t="e">
        <f>IF(F5="正常工资薪金",VLOOKUP(D5&amp;"*",工资表明细!D:AT,43,0),0)</f>
        <v>#N/A</v>
      </c>
      <c r="O5" s="89">
        <v>0</v>
      </c>
      <c r="P5" s="89">
        <v>0</v>
      </c>
      <c r="Q5" s="89">
        <v>0</v>
      </c>
      <c r="R5" s="89">
        <v>0</v>
      </c>
      <c r="S5" s="89">
        <v>0</v>
      </c>
      <c r="T5" s="89">
        <v>0</v>
      </c>
      <c r="U5" s="89">
        <v>0</v>
      </c>
      <c r="V5" s="89">
        <v>0</v>
      </c>
      <c r="W5" s="87" t="s">
        <v>272</v>
      </c>
      <c r="X5" s="89">
        <v>0</v>
      </c>
      <c r="Y5" s="87" t="s">
        <v>272</v>
      </c>
      <c r="Z5" s="87" t="s">
        <v>272</v>
      </c>
      <c r="AA5" s="87" t="s">
        <v>272</v>
      </c>
      <c r="AB5" s="89">
        <v>0</v>
      </c>
      <c r="AC5" s="89" t="e">
        <f t="shared" ref="AC5:AC68" si="2">IF(F5="正常工资薪金",G5+AX5,"-")</f>
        <v>#N/A</v>
      </c>
      <c r="AD5" s="89">
        <f t="shared" ref="AD5:AD68" si="3">IF(F5="正常工资薪金",J5+AY5,"-")</f>
        <v>40000</v>
      </c>
      <c r="AE5" s="89" t="e">
        <f t="shared" ref="AE5:AE68" si="4">IF(F5="正常工资薪金",K5+L5+M5+N5+AZ5,"-")</f>
        <v>#N/A</v>
      </c>
      <c r="AF5" s="89">
        <f t="shared" ref="AF5:AF68" si="5">IFERROR(IF($F$5="正常工资薪金",IF(YEAR(BK5)&lt;YEAR($BK$1),BA5/($D$1-1)*$D$1,BA5/DATEDIF(BK5,$BK$1,"M")*DATEDIF(BK5,$BK$1,"M")),"-"),0)</f>
        <v>0</v>
      </c>
      <c r="AG5" s="89">
        <f t="shared" ref="AG5:AG68" si="6">IFERROR(IF($F$5="正常工资薪金",IF(YEAR(BK5)&lt;YEAR($BK$1),BB5/($D$1-1)*$D$1,BB5/DATEDIF(BK5,$BK$1,"M")*DATEDIF(BK5,$BK$1,"M")),"-"),0)</f>
        <v>0</v>
      </c>
      <c r="AH5" s="89">
        <f t="shared" ref="AH5:AH68" si="7">IFERROR(IF($F$5="正常工资薪金",IF(YEAR(BK5)&lt;YEAR($BK$1),BC5/($D$1-1)*$D$1,BC5/(MONTH($BK$1)-MONTH(BK5))*(MONTH($BK$1)-MONTH(BK5)+1)),"-"),0)</f>
        <v>0</v>
      </c>
      <c r="AI5" s="89">
        <f t="shared" ref="AI5:AI68" si="8">IFERROR(IF($F$5="正常工资薪金",IF(YEAR(BK5)&lt;YEAR($BK$1),BD5/($D$1-1)*$D$1,BD5/(MONTH($BK$1)-MONTH(BK5))*(MONTH($BK$1)-MONTH(BK5)+1)),"-"),0)</f>
        <v>0</v>
      </c>
      <c r="AJ5" s="89">
        <f t="shared" ref="AJ5:AJ68" si="9">IFERROR(IF($F$5="正常工资薪金",IF(YEAR(BK5)&lt;YEAR($BK$1),BE5/($D$1-1)*$D$1,BE5/(MONTH($BK$1)-MONTH(BK5))*(MONTH($BK$1)-MONTH(BK5)+1)),"-"),0)</f>
        <v>0</v>
      </c>
      <c r="AK5" s="89">
        <f t="shared" ref="AK5:AK68" si="10">IFERROR(IF($F$5="正常工资薪金",IF(YEAR(BK5)&lt;YEAR($BK$1),BF5/($D$1-1)*$D$1,BF5/(MONTH($BK$1)-MONTH(BK5))*(MONTH($BK$1)-MONTH(BK5)+1)),"-"),0)</f>
        <v>0</v>
      </c>
      <c r="AL5" s="89">
        <v>0</v>
      </c>
      <c r="AM5" s="89">
        <v>0</v>
      </c>
      <c r="AN5" s="87" t="s">
        <v>273</v>
      </c>
      <c r="AO5" s="89">
        <v>0</v>
      </c>
      <c r="AP5" s="89" t="e">
        <f t="shared" ref="AP5:AP68" si="11">IF(IF(F5="正常工资薪金",AC5-AD5-AE5-AF5-AG5-AH5-AI5-AJ5-AK5-AL5-AM5,G5-H5-I5)&lt;0,0,IF(F5="正常工资薪金",AC5-AD5-AE5-AF5-AG5-AH5-AI5-AJ5-AK5-AL5-AM5,G5-H5-I5))</f>
        <v>#N/A</v>
      </c>
      <c r="AQ5" s="89" t="e" cm="1">
        <f t="array" ref="AQ5">_xlfn.IFS(F5="正常工资薪金",VLOOKUP(AP5,{0,0.03;36000,0.1;144000,0.2;300000,0.25;420000,0.3;660000,0.35;960000,0.45},2,1),F5="一般劳务报酬所得",IF(AP5&lt;=20000,0.2,IF(AP5&lt;=50000,0.3,0.4)),F5="全年一次性奖金收入",VLOOKUP(AP5/12,{0,0.03;3000,0.1;12000,0.2;25000,0.25;35000,0.3;55000,0.35;80000,0.45},2,1),F5="解除劳动合同一次性补偿金",VLOOKUP(AP5,{0,0.03;36000,0.1;144000,0.2;300000,0.25;420000,0.3;660000,0.35;960000,0.45},2,1))</f>
        <v>#N/A</v>
      </c>
      <c r="AR5" s="89" t="e" cm="1">
        <f t="array" ref="AR5">_xlfn.IFS(F5="正常工资薪金",VLOOKUP(AP5,{0,0;36000,2520;144000,16920;300000,31920;420000,52920;660000,85920;960000,181920},2,1),F5="一般劳务报酬所得",IF(AP5&lt;=20000,0,IF(AS&lt;=50000,2000,7000)),F5="全年一次性奖金收入",VLOOKUP(AP5/12,{0,0;3000,210;12000,1410;25000,2660;35000,4410;55000,7160;80000,15160},2,1),F5="解除劳动合同一次性补偿金",VLOOKUP(AP5,{0,0;36000,2520;144000,16920;300000,31920;420000,52920;660000,85920;960000,181920},2,1))</f>
        <v>#N/A</v>
      </c>
      <c r="AS5" s="89" t="e">
        <f t="shared" ref="AS5:AS68" si="12">AP5*AQ5-AR5</f>
        <v>#N/A</v>
      </c>
      <c r="AT5" s="89">
        <v>0</v>
      </c>
      <c r="AU5" s="89">
        <f t="shared" ref="AU5:AU68" si="13">BI5+BJ5</f>
        <v>28160.43</v>
      </c>
      <c r="AV5" s="89" t="e">
        <f t="shared" ref="AV5:AV68" si="14">IF(AS5-AT5-AU5&gt;0,AS5-AT5-AU5,0)</f>
        <v>#N/A</v>
      </c>
      <c r="AW5" s="87" t="s">
        <v>274</v>
      </c>
      <c r="AX5" s="90">
        <f>IFERROR(IF(F5="正常工资薪金",VLOOKUP(D5&amp;"*",个税上月累计情况!E:AL,26,0),0),0)</f>
        <v>280000</v>
      </c>
      <c r="AY5" s="90">
        <f>IFERROR(IF(F5="正常工资薪金",VLOOKUP(D5&amp;"*",个税上月累计情况!E:AL,27,0),0),0)</f>
        <v>35000</v>
      </c>
      <c r="AZ5" s="90">
        <f>IFERROR(IF(F5="正常工资薪金",VLOOKUP(D5&amp;"*",个税上月累计情况!E:AL,28,0),0),0)</f>
        <v>19597.83</v>
      </c>
      <c r="BA5" s="90">
        <f>IFERROR(IF(F5="正常工资薪金",VLOOKUP(D5&amp;"*",个税上月累计情况!E:AL,29,0),0),0)</f>
        <v>0</v>
      </c>
      <c r="BB5" s="90">
        <f>IFERROR(IF(F5="正常工资薪金",VLOOKUP(D5&amp;"*",个税上月累计情况!E:AL,30,0),0),0)</f>
        <v>0</v>
      </c>
      <c r="BC5" s="90">
        <f>IFERROR(IF(F5="正常工资薪金",VLOOKUP(D5&amp;"*",个税上月累计情况!E:AL,31,0),0),0)</f>
        <v>0</v>
      </c>
      <c r="BD5" s="90">
        <f>IFERROR(IF(F5="正常工资薪金",VLOOKUP(D5&amp;"*",个税上月累计情况!E:AL,32,0),0),0)</f>
        <v>0</v>
      </c>
      <c r="BE5" s="90">
        <f>IFERROR(IF(F5="正常工资薪金",VLOOKUP(D5&amp;"*",个税上月累计情况!E:AL,33,0),0),0)</f>
        <v>0</v>
      </c>
      <c r="BF5" s="90">
        <f>IFERROR(IF(F5="正常工资薪金",VLOOKUP(D5&amp;"*",个税上月累计情况!E:AL,34,0),0),0)</f>
        <v>0</v>
      </c>
      <c r="BG5" s="90">
        <f>IFERROR(IF(F5="正常工资薪金",VLOOKUP(D5&amp;"*",个税上月累计情况!E:AN,35,0),0),0)</f>
        <v>0</v>
      </c>
      <c r="BH5" s="90">
        <f>IFERROR(IF(F5="正常工资薪金",VLOOKUP(D5&amp;"*",个税上月累计情况!E:AN,36,0),0),0)</f>
        <v>0</v>
      </c>
      <c r="BI5" s="90">
        <f>IFERROR(IF(F5="正常工资薪金",VLOOKUP(D5&amp;"*",个税上月累计情况!D:AW,46,0),0),0)</f>
        <v>21660.54</v>
      </c>
      <c r="BJ5" s="90">
        <f>IFERROR(IF(F5="正常工资薪金",VLOOKUP(D5&amp;"*",个税上月累计情况!D:AX,47,0),0),0)</f>
        <v>6499.89</v>
      </c>
      <c r="BK5" t="e">
        <f>VLOOKUP(B5,花名册!C:N,12,0)</f>
        <v>#N/A</v>
      </c>
    </row>
    <row r="6" s="82" customFormat="1" ht="19.5" hidden="1" spans="1:63">
      <c r="A6" s="87"/>
      <c r="B6" s="87" t="s">
        <v>275</v>
      </c>
      <c r="C6" s="87" t="s">
        <v>268</v>
      </c>
      <c r="D6" s="87" t="s">
        <v>276</v>
      </c>
      <c r="E6" s="87" t="s">
        <v>270</v>
      </c>
      <c r="F6" s="87" t="s">
        <v>271</v>
      </c>
      <c r="G6" s="89" t="e" cm="1">
        <f t="array" ref="G6">_xlfn.IFS(F6="正常工资薪金",VLOOKUP(D6&amp;"*",工资表明细!D:BL,61,0),F6="一般劳务报酬所得",VLOOKUP(D6&amp;"*",工资表明细!D:BJ,59,0),F6="全年一次性奖金收入",VLOOKUP(D6&amp;"*",工资表明细!D:BI,58,0),F6="解除劳动合同一次性补偿金",VLOOKUP(D6&amp;"*",工资表明细!D:BH,57,0))</f>
        <v>#N/A</v>
      </c>
      <c r="H6" s="89">
        <f t="shared" si="0"/>
        <v>0</v>
      </c>
      <c r="I6" s="89">
        <v>0</v>
      </c>
      <c r="J6" s="89">
        <f t="shared" si="1"/>
        <v>5000</v>
      </c>
      <c r="K6" s="89" t="e">
        <f>IF(F6="正常工资薪金",VLOOKUP(D6&amp;"*",工资表明细!D:AP,39,0),0)</f>
        <v>#N/A</v>
      </c>
      <c r="L6" s="89" t="e">
        <f>IF(F6="正常工资薪金",VLOOKUP(D6&amp;"*",工资表明细!D:AQ,40,0),0)</f>
        <v>#N/A</v>
      </c>
      <c r="M6" s="89" t="e">
        <f>IF(F6="正常工资薪金",VLOOKUP(D6&amp;"*",工资表明细!D:AR,41,0),0)</f>
        <v>#N/A</v>
      </c>
      <c r="N6" s="89" t="e">
        <f>IF(F6="正常工资薪金",VLOOKUP(D6&amp;"*",工资表明细!D:AT,43,0),0)</f>
        <v>#N/A</v>
      </c>
      <c r="O6" s="89">
        <v>1</v>
      </c>
      <c r="P6" s="89">
        <v>1</v>
      </c>
      <c r="Q6" s="89">
        <v>1</v>
      </c>
      <c r="R6" s="89">
        <v>1</v>
      </c>
      <c r="S6" s="89">
        <v>1</v>
      </c>
      <c r="T6" s="89">
        <v>1</v>
      </c>
      <c r="U6" s="89">
        <v>1</v>
      </c>
      <c r="V6" s="89">
        <v>1</v>
      </c>
      <c r="W6" s="87" t="s">
        <v>272</v>
      </c>
      <c r="X6" s="89">
        <v>1</v>
      </c>
      <c r="Y6" s="87" t="s">
        <v>272</v>
      </c>
      <c r="Z6" s="87" t="s">
        <v>272</v>
      </c>
      <c r="AA6" s="87" t="s">
        <v>272</v>
      </c>
      <c r="AB6" s="89">
        <v>1</v>
      </c>
      <c r="AC6" s="89" t="e">
        <f t="shared" si="2"/>
        <v>#N/A</v>
      </c>
      <c r="AD6" s="89">
        <f t="shared" si="3"/>
        <v>40000</v>
      </c>
      <c r="AE6" s="89" t="e">
        <f t="shared" si="4"/>
        <v>#N/A</v>
      </c>
      <c r="AF6" s="89">
        <f t="shared" si="5"/>
        <v>0</v>
      </c>
      <c r="AG6" s="89">
        <f t="shared" si="6"/>
        <v>0</v>
      </c>
      <c r="AH6" s="89">
        <f t="shared" si="7"/>
        <v>0</v>
      </c>
      <c r="AI6" s="89">
        <f t="shared" si="8"/>
        <v>0</v>
      </c>
      <c r="AJ6" s="89">
        <f t="shared" si="9"/>
        <v>0</v>
      </c>
      <c r="AK6" s="89">
        <f t="shared" si="10"/>
        <v>0</v>
      </c>
      <c r="AL6" s="89">
        <v>0</v>
      </c>
      <c r="AM6" s="89">
        <v>0</v>
      </c>
      <c r="AN6" s="87" t="s">
        <v>273</v>
      </c>
      <c r="AO6" s="89">
        <v>0</v>
      </c>
      <c r="AP6" s="89" t="e">
        <f t="shared" si="11"/>
        <v>#N/A</v>
      </c>
      <c r="AQ6" s="89" t="e" cm="1">
        <f t="array" ref="AQ6">_xlfn.IFS(F6="正常工资薪金",VLOOKUP(AP6,{0,0.03;36000,0.1;144000,0.2;300000,0.25;420000,0.3;660000,0.35;960000,0.45},2,1),F6="一般劳务报酬所得",IF(AP6&lt;=20000,0.2,IF(AP6&lt;=50000,0.3,0.4)),F6="全年一次性奖金收入",VLOOKUP(AP6/12,{0,0.03;3000,0.1;12000,0.2;25000,0.25;35000,0.3;55000,0.35;80000,0.45},2,1),F6="解除劳动合同一次性补偿金",VLOOKUP(AP6,{0,0.03;36000,0.1;144000,0.2;300000,0.25;420000,0.3;660000,0.35;960000,0.45},2,1))</f>
        <v>#N/A</v>
      </c>
      <c r="AR6" s="89" t="e" cm="1">
        <f t="array" ref="AR6">_xlfn.IFS(F6="正常工资薪金",VLOOKUP(AP6,{0,0;36000,2520;144000,16920;300000,31920;420000,52920;660000,85920;960000,181920},2,1),F6="一般劳务报酬所得",IF(AP6&lt;=20000,0,IF(AS&lt;=50000,2000,7000)),F6="全年一次性奖金收入",VLOOKUP(AP6/12,{0,0;3000,210;12000,1410;25000,2660;35000,4410;55000,7160;80000,15160},2,1),F6="解除劳动合同一次性补偿金",VLOOKUP(AP6,{0,0;36000,2520;144000,16920;300000,31920;420000,52920;660000,85920;960000,181920},2,1))</f>
        <v>#N/A</v>
      </c>
      <c r="AS6" s="89" t="e">
        <f t="shared" si="12"/>
        <v>#N/A</v>
      </c>
      <c r="AT6" s="89">
        <v>0</v>
      </c>
      <c r="AU6" s="89">
        <f t="shared" si="13"/>
        <v>2596.72</v>
      </c>
      <c r="AV6" s="89" t="e">
        <f t="shared" si="14"/>
        <v>#N/A</v>
      </c>
      <c r="AW6" s="87"/>
      <c r="AX6" s="90">
        <f>IFERROR(IF(F6="正常工资薪金",VLOOKUP(D6&amp;"*",个税上月累计情况!E:AL,26,0),0),0)</f>
        <v>109505.3</v>
      </c>
      <c r="AY6" s="90">
        <f>IFERROR(IF(F6="正常工资薪金",VLOOKUP(D6&amp;"*",个税上月累计情况!E:AL,27,0),0),0)</f>
        <v>35000</v>
      </c>
      <c r="AZ6" s="90">
        <f>IFERROR(IF(F6="正常工资薪金",VLOOKUP(D6&amp;"*",个税上月累计情况!E:AL,28,0),0),0)</f>
        <v>12838.07</v>
      </c>
      <c r="BA6" s="90">
        <f>IFERROR(IF(F6="正常工资薪金",VLOOKUP(D6&amp;"*",个税上月累计情况!E:AL,29,0),0),0)</f>
        <v>0</v>
      </c>
      <c r="BB6" s="90">
        <f>IFERROR(IF(F6="正常工资薪金",VLOOKUP(D6&amp;"*",个税上月累计情况!E:AL,30,0),0),0)</f>
        <v>0</v>
      </c>
      <c r="BC6" s="90">
        <f>IFERROR(IF(F6="正常工资薪金",VLOOKUP(D6&amp;"*",个税上月累计情况!E:AL,31,0),0),0)</f>
        <v>0</v>
      </c>
      <c r="BD6" s="90">
        <f>IFERROR(IF(F6="正常工资薪金",VLOOKUP(D6&amp;"*",个税上月累计情况!E:AL,32,0),0),0)</f>
        <v>10500</v>
      </c>
      <c r="BE6" s="90">
        <f>IFERROR(IF(F6="正常工资薪金",VLOOKUP(D6&amp;"*",个税上月累计情况!E:AL,33,0),0),0)</f>
        <v>0</v>
      </c>
      <c r="BF6" s="90">
        <f>IFERROR(IF(F6="正常工资薪金",VLOOKUP(D6&amp;"*",个税上月累计情况!E:AL,34,0),0),0)</f>
        <v>0</v>
      </c>
      <c r="BG6" s="90">
        <f>IFERROR(IF(F6="正常工资薪金",VLOOKUP(D6&amp;"*",个税上月累计情况!E:AN,35,0),0),0)</f>
        <v>0</v>
      </c>
      <c r="BH6" s="90">
        <f>IFERROR(IF(F6="正常工资薪金",VLOOKUP(D6&amp;"*",个税上月累计情况!E:AN,36,0),0),0)</f>
        <v>0</v>
      </c>
      <c r="BI6" s="90">
        <f>IFERROR(IF(F6="正常工资薪金",VLOOKUP(D6&amp;"*",个税上月累计情况!D:AW,46,0),0),0)</f>
        <v>1841.91</v>
      </c>
      <c r="BJ6" s="90">
        <f>IFERROR(IF(F6="正常工资薪金",VLOOKUP(D6&amp;"*",个税上月累计情况!D:AX,47,0),0),0)</f>
        <v>754.81</v>
      </c>
      <c r="BK6" t="e">
        <f>VLOOKUP(B6,花名册!C:N,12,0)</f>
        <v>#N/A</v>
      </c>
    </row>
    <row r="7" s="82" customFormat="1" ht="19.5" hidden="1" spans="1:63">
      <c r="A7" s="87"/>
      <c r="B7" s="87" t="s">
        <v>277</v>
      </c>
      <c r="C7" s="87" t="s">
        <v>268</v>
      </c>
      <c r="D7" s="87" t="s">
        <v>278</v>
      </c>
      <c r="E7" s="87" t="s">
        <v>270</v>
      </c>
      <c r="F7" s="87" t="s">
        <v>271</v>
      </c>
      <c r="G7" s="89" t="e" cm="1">
        <f t="array" ref="G7">_xlfn.IFS(F7="正常工资薪金",VLOOKUP(D7&amp;"*",工资表明细!D:BL,61,0),F7="一般劳务报酬所得",VLOOKUP(D7&amp;"*",工资表明细!D:BJ,59,0),F7="全年一次性奖金收入",VLOOKUP(D7&amp;"*",工资表明细!D:BI,58,0),F7="解除劳动合同一次性补偿金",VLOOKUP(D7&amp;"*",工资表明细!D:BH,57,0))</f>
        <v>#N/A</v>
      </c>
      <c r="H7" s="89">
        <f t="shared" si="0"/>
        <v>0</v>
      </c>
      <c r="I7" s="89">
        <v>0</v>
      </c>
      <c r="J7" s="89">
        <f t="shared" si="1"/>
        <v>5000</v>
      </c>
      <c r="K7" s="89" t="e">
        <f>IF(F7="正常工资薪金",VLOOKUP(D7&amp;"*",工资表明细!D:AP,39,0),0)</f>
        <v>#N/A</v>
      </c>
      <c r="L7" s="89" t="e">
        <f>IF(F7="正常工资薪金",VLOOKUP(D7&amp;"*",工资表明细!D:AQ,40,0),0)</f>
        <v>#N/A</v>
      </c>
      <c r="M7" s="89" t="e">
        <f>IF(F7="正常工资薪金",VLOOKUP(D7&amp;"*",工资表明细!D:AR,41,0),0)</f>
        <v>#N/A</v>
      </c>
      <c r="N7" s="89" t="e">
        <f>IF(F7="正常工资薪金",VLOOKUP(D7&amp;"*",工资表明细!D:AT,43,0),0)</f>
        <v>#N/A</v>
      </c>
      <c r="O7" s="89">
        <v>2</v>
      </c>
      <c r="P7" s="89">
        <v>2</v>
      </c>
      <c r="Q7" s="89">
        <v>2</v>
      </c>
      <c r="R7" s="89">
        <v>2</v>
      </c>
      <c r="S7" s="89">
        <v>2</v>
      </c>
      <c r="T7" s="89">
        <v>2</v>
      </c>
      <c r="U7" s="89">
        <v>2</v>
      </c>
      <c r="V7" s="89">
        <v>2</v>
      </c>
      <c r="W7" s="87" t="s">
        <v>272</v>
      </c>
      <c r="X7" s="89">
        <v>2</v>
      </c>
      <c r="Y7" s="87" t="s">
        <v>272</v>
      </c>
      <c r="Z7" s="87" t="s">
        <v>272</v>
      </c>
      <c r="AA7" s="87" t="s">
        <v>272</v>
      </c>
      <c r="AB7" s="89">
        <v>2</v>
      </c>
      <c r="AC7" s="89" t="e">
        <f t="shared" si="2"/>
        <v>#N/A</v>
      </c>
      <c r="AD7" s="89">
        <f t="shared" si="3"/>
        <v>40000</v>
      </c>
      <c r="AE7" s="89" t="e">
        <f t="shared" si="4"/>
        <v>#N/A</v>
      </c>
      <c r="AF7" s="89">
        <f t="shared" si="5"/>
        <v>0</v>
      </c>
      <c r="AG7" s="89">
        <f t="shared" si="6"/>
        <v>0</v>
      </c>
      <c r="AH7" s="89">
        <f t="shared" si="7"/>
        <v>0</v>
      </c>
      <c r="AI7" s="89">
        <f t="shared" si="8"/>
        <v>0</v>
      </c>
      <c r="AJ7" s="89">
        <f t="shared" si="9"/>
        <v>0</v>
      </c>
      <c r="AK7" s="89">
        <f t="shared" si="10"/>
        <v>0</v>
      </c>
      <c r="AL7" s="89">
        <v>0</v>
      </c>
      <c r="AM7" s="89">
        <v>0</v>
      </c>
      <c r="AN7" s="87" t="s">
        <v>273</v>
      </c>
      <c r="AO7" s="89">
        <v>0</v>
      </c>
      <c r="AP7" s="89" t="e">
        <f t="shared" si="11"/>
        <v>#N/A</v>
      </c>
      <c r="AQ7" s="89" t="e" cm="1">
        <f t="array" ref="AQ7">_xlfn.IFS(F7="正常工资薪金",VLOOKUP(AP7,{0,0.03;36000,0.1;144000,0.2;300000,0.25;420000,0.3;660000,0.35;960000,0.45},2,1),F7="一般劳务报酬所得",IF(AP7&lt;=20000,0.2,IF(AP7&lt;=50000,0.3,0.4)),F7="全年一次性奖金收入",VLOOKUP(AP7/12,{0,0.03;3000,0.1;12000,0.2;25000,0.25;35000,0.3;55000,0.35;80000,0.45},2,1),F7="解除劳动合同一次性补偿金",VLOOKUP(AP7,{0,0.03;36000,0.1;144000,0.2;300000,0.25;420000,0.3;660000,0.35;960000,0.45},2,1))</f>
        <v>#N/A</v>
      </c>
      <c r="AR7" s="89" t="e" cm="1">
        <f t="array" ref="AR7">_xlfn.IFS(F7="正常工资薪金",VLOOKUP(AP7,{0,0;36000,2520;144000,16920;300000,31920;420000,52920;660000,85920;960000,181920},2,1),F7="一般劳务报酬所得",IF(AP7&lt;=20000,0,IF(AS&lt;=50000,2000,7000)),F7="全年一次性奖金收入",VLOOKUP(AP7/12,{0,0;3000,210;12000,1410;25000,2660;35000,4410;55000,7160;80000,15160},2,1),F7="解除劳动合同一次性补偿金",VLOOKUP(AP7,{0,0;36000,2520;144000,16920;300000,31920;420000,52920;660000,85920;960000,181920},2,1))</f>
        <v>#N/A</v>
      </c>
      <c r="AS7" s="89" t="e">
        <f t="shared" si="12"/>
        <v>#N/A</v>
      </c>
      <c r="AT7" s="89">
        <v>0</v>
      </c>
      <c r="AU7" s="89">
        <f t="shared" si="13"/>
        <v>23960.43</v>
      </c>
      <c r="AV7" s="89" t="e">
        <f t="shared" si="14"/>
        <v>#N/A</v>
      </c>
      <c r="AW7" s="87"/>
      <c r="AX7" s="90">
        <f>IFERROR(IF(F7="正常工资薪金",VLOOKUP(D7&amp;"*",个税上月累计情况!E:AL,26,0),0),0)</f>
        <v>280000</v>
      </c>
      <c r="AY7" s="90">
        <f>IFERROR(IF(F7="正常工资薪金",VLOOKUP(D7&amp;"*",个税上月累计情况!E:AL,27,0),0),0)</f>
        <v>35000</v>
      </c>
      <c r="AZ7" s="90">
        <f>IFERROR(IF(F7="正常工资薪金",VLOOKUP(D7&amp;"*",个税上月累计情况!E:AL,28,0),0),0)</f>
        <v>19597.83</v>
      </c>
      <c r="BA7" s="90">
        <f>IFERROR(IF(F7="正常工资薪金",VLOOKUP(D7&amp;"*",个税上月累计情况!E:AL,29,0),0),0)</f>
        <v>0</v>
      </c>
      <c r="BB7" s="90">
        <f>IFERROR(IF(F7="正常工资薪金",VLOOKUP(D7&amp;"*",个税上月累计情况!E:AL,30,0),0),0)</f>
        <v>21000</v>
      </c>
      <c r="BC7" s="90">
        <f>IFERROR(IF(F7="正常工资薪金",VLOOKUP(D7&amp;"*",个税上月累计情况!E:AL,31,0),0),0)</f>
        <v>0</v>
      </c>
      <c r="BD7" s="90">
        <f>IFERROR(IF(F7="正常工资薪金",VLOOKUP(D7&amp;"*",个税上月累计情况!E:AL,32,0),0),0)</f>
        <v>0</v>
      </c>
      <c r="BE7" s="90">
        <f>IFERROR(IF(F7="正常工资薪金",VLOOKUP(D7&amp;"*",个税上月累计情况!E:AL,33,0),0),0)</f>
        <v>0</v>
      </c>
      <c r="BF7" s="90">
        <f>IFERROR(IF(F7="正常工资薪金",VLOOKUP(D7&amp;"*",个税上月累计情况!E:AL,34,0),0),0)</f>
        <v>0</v>
      </c>
      <c r="BG7" s="90">
        <f>IFERROR(IF(F7="正常工资薪金",VLOOKUP(D7&amp;"*",个税上月累计情况!E:AN,35,0),0),0)</f>
        <v>0</v>
      </c>
      <c r="BH7" s="90">
        <f>IFERROR(IF(F7="正常工资薪金",VLOOKUP(D7&amp;"*",个税上月累计情况!E:AN,36,0),0),0)</f>
        <v>0</v>
      </c>
      <c r="BI7" s="90">
        <f>IFERROR(IF(F7="正常工资薪金",VLOOKUP(D7&amp;"*",个税上月累计情况!D:AW,46,0),0),0)</f>
        <v>18060.54</v>
      </c>
      <c r="BJ7" s="90">
        <f>IFERROR(IF(F7="正常工资薪金",VLOOKUP(D7&amp;"*",个税上月累计情况!D:AX,47,0),0),0)</f>
        <v>5899.89</v>
      </c>
      <c r="BK7" t="e">
        <f>VLOOKUP(B7,花名册!C:N,12,0)</f>
        <v>#N/A</v>
      </c>
    </row>
    <row r="8" s="82" customFormat="1" ht="19.5" hidden="1" spans="1:63">
      <c r="A8" s="87"/>
      <c r="B8" s="87" t="s">
        <v>279</v>
      </c>
      <c r="C8" s="87" t="s">
        <v>268</v>
      </c>
      <c r="D8" s="87" t="s">
        <v>280</v>
      </c>
      <c r="E8" s="87" t="s">
        <v>270</v>
      </c>
      <c r="F8" s="87" t="s">
        <v>271</v>
      </c>
      <c r="G8" s="89" t="e" cm="1">
        <f t="array" ref="G8">_xlfn.IFS(F8="正常工资薪金",VLOOKUP(D8&amp;"*",工资表明细!D:BL,61,0),F8="一般劳务报酬所得",VLOOKUP(D8&amp;"*",工资表明细!D:BJ,59,0),F8="全年一次性奖金收入",VLOOKUP(D8&amp;"*",工资表明细!D:BI,58,0),F8="解除劳动合同一次性补偿金",VLOOKUP(D8&amp;"*",工资表明细!D:BH,57,0))</f>
        <v>#N/A</v>
      </c>
      <c r="H8" s="89">
        <f t="shared" si="0"/>
        <v>0</v>
      </c>
      <c r="I8" s="89">
        <v>3935.01</v>
      </c>
      <c r="J8" s="89">
        <f t="shared" si="1"/>
        <v>5000</v>
      </c>
      <c r="K8" s="89" t="e">
        <f>IF(F8="正常工资薪金",VLOOKUP(D8&amp;"*",工资表明细!D:AP,39,0),0)</f>
        <v>#N/A</v>
      </c>
      <c r="L8" s="89" t="e">
        <f>IF(F8="正常工资薪金",VLOOKUP(D8&amp;"*",工资表明细!D:AQ,40,0),0)</f>
        <v>#N/A</v>
      </c>
      <c r="M8" s="89" t="e">
        <f>IF(F8="正常工资薪金",VLOOKUP(D8&amp;"*",工资表明细!D:AR,41,0),0)</f>
        <v>#N/A</v>
      </c>
      <c r="N8" s="89" t="e">
        <f>IF(F8="正常工资薪金",VLOOKUP(D8&amp;"*",工资表明细!D:AT,43,0),0)</f>
        <v>#N/A</v>
      </c>
      <c r="O8" s="89">
        <v>3</v>
      </c>
      <c r="P8" s="89">
        <v>3</v>
      </c>
      <c r="Q8" s="89">
        <v>3</v>
      </c>
      <c r="R8" s="89">
        <v>3</v>
      </c>
      <c r="S8" s="89">
        <v>3</v>
      </c>
      <c r="T8" s="89">
        <v>3</v>
      </c>
      <c r="U8" s="89">
        <v>3</v>
      </c>
      <c r="V8" s="89">
        <v>3</v>
      </c>
      <c r="W8" s="87" t="s">
        <v>272</v>
      </c>
      <c r="X8" s="89">
        <v>3</v>
      </c>
      <c r="Y8" s="87" t="s">
        <v>272</v>
      </c>
      <c r="Z8" s="87" t="s">
        <v>272</v>
      </c>
      <c r="AA8" s="87" t="s">
        <v>272</v>
      </c>
      <c r="AB8" s="89">
        <v>3</v>
      </c>
      <c r="AC8" s="89" t="e">
        <f t="shared" si="2"/>
        <v>#N/A</v>
      </c>
      <c r="AD8" s="89">
        <f t="shared" si="3"/>
        <v>40000</v>
      </c>
      <c r="AE8" s="89" t="e">
        <f t="shared" si="4"/>
        <v>#N/A</v>
      </c>
      <c r="AF8" s="89">
        <f t="shared" si="5"/>
        <v>0</v>
      </c>
      <c r="AG8" s="89">
        <f t="shared" si="6"/>
        <v>0</v>
      </c>
      <c r="AH8" s="89">
        <f t="shared" si="7"/>
        <v>0</v>
      </c>
      <c r="AI8" s="89">
        <f t="shared" si="8"/>
        <v>0</v>
      </c>
      <c r="AJ8" s="89">
        <f t="shared" si="9"/>
        <v>0</v>
      </c>
      <c r="AK8" s="89">
        <f t="shared" si="10"/>
        <v>0</v>
      </c>
      <c r="AL8" s="89">
        <v>0</v>
      </c>
      <c r="AM8" s="89">
        <v>0</v>
      </c>
      <c r="AN8" s="87" t="s">
        <v>273</v>
      </c>
      <c r="AO8" s="89">
        <v>0</v>
      </c>
      <c r="AP8" s="89" t="e">
        <f t="shared" si="11"/>
        <v>#N/A</v>
      </c>
      <c r="AQ8" s="89" t="e" cm="1">
        <f t="array" ref="AQ8">_xlfn.IFS(F8="正常工资薪金",VLOOKUP(AP8,{0,0.03;36000,0.1;144000,0.2;300000,0.25;420000,0.3;660000,0.35;960000,0.45},2,1),F8="一般劳务报酬所得",IF(AP8&lt;=20000,0.2,IF(AP8&lt;=50000,0.3,0.4)),F8="全年一次性奖金收入",VLOOKUP(AP8/12,{0,0.03;3000,0.1;12000,0.2;25000,0.25;35000,0.3;55000,0.35;80000,0.45},2,1),F8="解除劳动合同一次性补偿金",VLOOKUP(AP8,{0,0.03;36000,0.1;144000,0.2;300000,0.25;420000,0.3;660000,0.35;960000,0.45},2,1))</f>
        <v>#N/A</v>
      </c>
      <c r="AR8" s="89" t="e" cm="1">
        <f t="array" ref="AR8">_xlfn.IFS(F8="正常工资薪金",VLOOKUP(AP8,{0,0;36000,2520;144000,16920;300000,31920;420000,52920;660000,85920;960000,181920},2,1),F8="一般劳务报酬所得",IF(AP8&lt;=20000,0,IF(AS&lt;=50000,2000,7000)),F8="全年一次性奖金收入",VLOOKUP(AP8/12,{0,0;3000,210;12000,1410;25000,2660;35000,4410;55000,7160;80000,15160},2,1),F8="解除劳动合同一次性补偿金",VLOOKUP(AP8,{0,0;36000,2520;144000,16920;300000,31920;420000,52920;660000,85920;960000,181920},2,1))</f>
        <v>#N/A</v>
      </c>
      <c r="AS8" s="89" t="e">
        <f t="shared" si="12"/>
        <v>#N/A</v>
      </c>
      <c r="AT8" s="89">
        <v>0</v>
      </c>
      <c r="AU8" s="89">
        <f t="shared" si="13"/>
        <v>518.97</v>
      </c>
      <c r="AV8" s="89" t="e">
        <f t="shared" si="14"/>
        <v>#N/A</v>
      </c>
      <c r="AW8" s="87"/>
      <c r="AX8" s="90">
        <f>IFERROR(IF(F8="正常工资薪金",VLOOKUP(D8&amp;"*",个税上月累计情况!E:AL,26,0),0),0)</f>
        <v>39781.1</v>
      </c>
      <c r="AY8" s="90">
        <f>IFERROR(IF(F8="正常工资薪金",VLOOKUP(D8&amp;"*",个税上月累计情况!E:AL,27,0),0),0)</f>
        <v>35000</v>
      </c>
      <c r="AZ8" s="90">
        <f>IFERROR(IF(F8="正常工资薪金",VLOOKUP(D8&amp;"*",个税上月累计情况!E:AL,28,0),0),0)</f>
        <v>10535.07</v>
      </c>
      <c r="BA8" s="90">
        <f>IFERROR(IF(F8="正常工资薪金",VLOOKUP(D8&amp;"*",个税上月累计情况!E:AL,29,0),0),0)</f>
        <v>0</v>
      </c>
      <c r="BB8" s="90">
        <f>IFERROR(IF(F8="正常工资薪金",VLOOKUP(D8&amp;"*",个税上月累计情况!E:AL,30,0),0),0)</f>
        <v>0</v>
      </c>
      <c r="BC8" s="90">
        <f>IFERROR(IF(F8="正常工资薪金",VLOOKUP(D8&amp;"*",个税上月累计情况!E:AL,31,0),0),0)</f>
        <v>0</v>
      </c>
      <c r="BD8" s="90">
        <f>IFERROR(IF(F8="正常工资薪金",VLOOKUP(D8&amp;"*",个税上月累计情况!E:AL,32,0),0),0)</f>
        <v>0</v>
      </c>
      <c r="BE8" s="90">
        <f>IFERROR(IF(F8="正常工资薪金",VLOOKUP(D8&amp;"*",个税上月累计情况!E:AL,33,0),0),0)</f>
        <v>0</v>
      </c>
      <c r="BF8" s="90">
        <f>IFERROR(IF(F8="正常工资薪金",VLOOKUP(D8&amp;"*",个税上月累计情况!E:AL,34,0),0),0)</f>
        <v>0</v>
      </c>
      <c r="BG8" s="90">
        <f>IFERROR(IF(F8="正常工资薪金",VLOOKUP(D8&amp;"*",个税上月累计情况!E:AN,35,0),0),0)</f>
        <v>0</v>
      </c>
      <c r="BH8" s="90">
        <f>IFERROR(IF(F8="正常工资薪金",VLOOKUP(D8&amp;"*",个税上月累计情况!E:AN,36,0),0),0)</f>
        <v>0</v>
      </c>
      <c r="BI8" s="90">
        <f>IFERROR(IF(F8="正常工资薪金",VLOOKUP(D8&amp;"*",个税上月累计情况!D:AW,46,0),0),0)</f>
        <v>518.97</v>
      </c>
      <c r="BJ8" s="90">
        <f>IFERROR(IF(F8="正常工资薪金",VLOOKUP(D8&amp;"*",个税上月累计情况!D:AX,47,0),0),0)</f>
        <v>0</v>
      </c>
      <c r="BK8" t="e">
        <f>VLOOKUP(B8,花名册!C:N,12,0)</f>
        <v>#N/A</v>
      </c>
    </row>
    <row r="9" ht="19.5" hidden="1" spans="1:63">
      <c r="A9" s="87"/>
      <c r="B9" s="87" t="s">
        <v>281</v>
      </c>
      <c r="C9" s="87" t="s">
        <v>268</v>
      </c>
      <c r="D9" s="87" t="s">
        <v>282</v>
      </c>
      <c r="E9" s="87" t="s">
        <v>270</v>
      </c>
      <c r="F9" s="87" t="s">
        <v>271</v>
      </c>
      <c r="G9" s="89" t="e" cm="1">
        <f t="array" ref="G9">_xlfn.IFS(F9="正常工资薪金",VLOOKUP(D9&amp;"*",工资表明细!D:BL,61,0),F9="一般劳务报酬所得",VLOOKUP(D9&amp;"*",工资表明细!D:BJ,59,0),F9="全年一次性奖金收入",VLOOKUP(D9&amp;"*",工资表明细!D:BI,58,0),F9="解除劳动合同一次性补偿金",VLOOKUP(D9&amp;"*",工资表明细!D:BH,57,0))</f>
        <v>#N/A</v>
      </c>
      <c r="H9" s="89">
        <f t="shared" si="0"/>
        <v>0</v>
      </c>
      <c r="I9" s="89">
        <v>0</v>
      </c>
      <c r="J9" s="89">
        <f t="shared" si="1"/>
        <v>5000</v>
      </c>
      <c r="K9" s="89" t="e">
        <f>IF(F9="正常工资薪金",VLOOKUP(D9&amp;"*",工资表明细!D:AP,39,0),0)</f>
        <v>#N/A</v>
      </c>
      <c r="L9" s="89" t="e">
        <f>IF(F9="正常工资薪金",VLOOKUP(D9&amp;"*",工资表明细!D:AQ,40,0),0)</f>
        <v>#N/A</v>
      </c>
      <c r="M9" s="89" t="e">
        <f>IF(F9="正常工资薪金",VLOOKUP(D9&amp;"*",工资表明细!D:AR,41,0),0)</f>
        <v>#N/A</v>
      </c>
      <c r="N9" s="89" t="e">
        <f>IF(F9="正常工资薪金",VLOOKUP(D9&amp;"*",工资表明细!D:AT,43,0),0)</f>
        <v>#N/A</v>
      </c>
      <c r="O9" s="89">
        <v>4</v>
      </c>
      <c r="P9" s="89">
        <v>4</v>
      </c>
      <c r="Q9" s="89">
        <v>4</v>
      </c>
      <c r="R9" s="89">
        <v>4</v>
      </c>
      <c r="S9" s="89">
        <v>4</v>
      </c>
      <c r="T9" s="89">
        <v>4</v>
      </c>
      <c r="U9" s="89">
        <v>4</v>
      </c>
      <c r="V9" s="89">
        <v>4</v>
      </c>
      <c r="W9" s="87" t="s">
        <v>272</v>
      </c>
      <c r="X9" s="89">
        <v>4</v>
      </c>
      <c r="Y9" s="87" t="s">
        <v>272</v>
      </c>
      <c r="Z9" s="87" t="s">
        <v>272</v>
      </c>
      <c r="AA9" s="87" t="s">
        <v>272</v>
      </c>
      <c r="AB9" s="89">
        <v>4</v>
      </c>
      <c r="AC9" s="89" t="e">
        <f t="shared" si="2"/>
        <v>#N/A</v>
      </c>
      <c r="AD9" s="89">
        <f t="shared" si="3"/>
        <v>40000</v>
      </c>
      <c r="AE9" s="89" t="e">
        <f t="shared" si="4"/>
        <v>#N/A</v>
      </c>
      <c r="AF9" s="89">
        <f t="shared" si="5"/>
        <v>0</v>
      </c>
      <c r="AG9" s="89">
        <f t="shared" si="6"/>
        <v>0</v>
      </c>
      <c r="AH9" s="89">
        <f t="shared" si="7"/>
        <v>0</v>
      </c>
      <c r="AI9" s="89">
        <f t="shared" si="8"/>
        <v>0</v>
      </c>
      <c r="AJ9" s="89">
        <f t="shared" si="9"/>
        <v>0</v>
      </c>
      <c r="AK9" s="89">
        <f t="shared" si="10"/>
        <v>0</v>
      </c>
      <c r="AL9" s="89">
        <v>0</v>
      </c>
      <c r="AM9" s="89">
        <v>0</v>
      </c>
      <c r="AN9" s="87" t="s">
        <v>273</v>
      </c>
      <c r="AO9" s="89">
        <v>0</v>
      </c>
      <c r="AP9" s="89" t="e">
        <f t="shared" si="11"/>
        <v>#N/A</v>
      </c>
      <c r="AQ9" s="89" t="e" cm="1">
        <f t="array" ref="AQ9">_xlfn.IFS(F9="正常工资薪金",VLOOKUP(AP9,{0,0.03;36000,0.1;144000,0.2;300000,0.25;420000,0.3;660000,0.35;960000,0.45},2,1),F9="一般劳务报酬所得",IF(AP9&lt;=20000,0.2,IF(AP9&lt;=50000,0.3,0.4)),F9="全年一次性奖金收入",VLOOKUP(AP9/12,{0,0.03;3000,0.1;12000,0.2;25000,0.25;35000,0.3;55000,0.35;80000,0.45},2,1),F9="解除劳动合同一次性补偿金",VLOOKUP(AP9,{0,0.03;36000,0.1;144000,0.2;300000,0.25;420000,0.3;660000,0.35;960000,0.45},2,1))</f>
        <v>#N/A</v>
      </c>
      <c r="AR9" s="89" t="e" cm="1">
        <f t="array" ref="AR9">_xlfn.IFS(F9="正常工资薪金",VLOOKUP(AP9,{0,0;36000,2520;144000,16920;300000,31920;420000,52920;660000,85920;960000,181920},2,1),F9="一般劳务报酬所得",IF(AP9&lt;=20000,0,IF(AS&lt;=50000,2000,7000)),F9="全年一次性奖金收入",VLOOKUP(AP9/12,{0,0;3000,210;12000,1410;25000,2660;35000,4410;55000,7160;80000,15160},2,1),F9="解除劳动合同一次性补偿金",VLOOKUP(AP9,{0,0;36000,2520;144000,16920;300000,31920;420000,52920;660000,85920;960000,181920},2,1))</f>
        <v>#N/A</v>
      </c>
      <c r="AS9" s="89" t="e">
        <f t="shared" si="12"/>
        <v>#N/A</v>
      </c>
      <c r="AT9" s="89">
        <v>0</v>
      </c>
      <c r="AU9" s="89">
        <f t="shared" si="13"/>
        <v>711.99</v>
      </c>
      <c r="AV9" s="89" t="e">
        <f t="shared" si="14"/>
        <v>#N/A</v>
      </c>
      <c r="AW9" s="87"/>
      <c r="AX9" s="90">
        <f>IFERROR(IF(F9="正常工资薪金",VLOOKUP(D9&amp;"*",个税上月累计情况!E:AL,26,0),0),0)</f>
        <v>66881.14</v>
      </c>
      <c r="AY9" s="90">
        <f>IFERROR(IF(F9="正常工资薪金",VLOOKUP(D9&amp;"*",个税上月累计情况!E:AL,27,0),0),0)</f>
        <v>35000</v>
      </c>
      <c r="AZ9" s="90">
        <f>IFERROR(IF(F9="正常工资薪金",VLOOKUP(D9&amp;"*",个税上月累计情况!E:AL,28,0),0),0)</f>
        <v>8148.07</v>
      </c>
      <c r="BA9" s="90">
        <f>IFERROR(IF(F9="正常工资薪金",VLOOKUP(D9&amp;"*",个税上月累计情况!E:AL,29,0),0),0)</f>
        <v>0</v>
      </c>
      <c r="BB9" s="90">
        <f>IFERROR(IF(F9="正常工资薪金",VLOOKUP(D9&amp;"*",个税上月累计情况!E:AL,30,0),0),0)</f>
        <v>0</v>
      </c>
      <c r="BC9" s="90">
        <f>IFERROR(IF(F9="正常工资薪金",VLOOKUP(D9&amp;"*",个税上月累计情况!E:AL,31,0),0),0)</f>
        <v>0</v>
      </c>
      <c r="BD9" s="90">
        <f>IFERROR(IF(F9="正常工资薪金",VLOOKUP(D9&amp;"*",个税上月累计情况!E:AL,32,0),0),0)</f>
        <v>0</v>
      </c>
      <c r="BE9" s="90">
        <f>IFERROR(IF(F9="正常工资薪金",VLOOKUP(D9&amp;"*",个税上月累计情况!E:AL,33,0),0),0)</f>
        <v>0</v>
      </c>
      <c r="BF9" s="90">
        <f>IFERROR(IF(F9="正常工资薪金",VLOOKUP(D9&amp;"*",个税上月累计情况!E:AL,34,0),0),0)</f>
        <v>0</v>
      </c>
      <c r="BG9" s="90">
        <f>IFERROR(IF(F9="正常工资薪金",VLOOKUP(D9&amp;"*",个税上月累计情况!E:AN,35,0),0),0)</f>
        <v>0</v>
      </c>
      <c r="BH9" s="90">
        <f>IFERROR(IF(F9="正常工资薪金",VLOOKUP(D9&amp;"*",个税上月累计情况!E:AN,36,0),0),0)</f>
        <v>0</v>
      </c>
      <c r="BI9" s="90">
        <f>IFERROR(IF(F9="正常工资薪金",VLOOKUP(D9&amp;"*",个税上月累计情况!D:AW,46,0),0),0)</f>
        <v>654.69</v>
      </c>
      <c r="BJ9" s="90">
        <f>IFERROR(IF(F9="正常工资薪金",VLOOKUP(D9&amp;"*",个税上月累计情况!D:AX,47,0),0),0)</f>
        <v>57.3</v>
      </c>
      <c r="BK9" t="e">
        <f>VLOOKUP(B9,花名册!C:N,12,0)</f>
        <v>#N/A</v>
      </c>
    </row>
    <row r="10" ht="19.5" hidden="1" spans="1:63">
      <c r="A10" s="87"/>
      <c r="B10" s="87" t="s">
        <v>283</v>
      </c>
      <c r="C10" s="87" t="s">
        <v>268</v>
      </c>
      <c r="D10" s="87" t="s">
        <v>284</v>
      </c>
      <c r="E10" s="87" t="s">
        <v>270</v>
      </c>
      <c r="F10" s="87" t="s">
        <v>271</v>
      </c>
      <c r="G10" s="89" t="e" cm="1">
        <f t="array" ref="G10">_xlfn.IFS(F10="正常工资薪金",VLOOKUP(D10&amp;"*",工资表明细!D:BL,61,0),F10="一般劳务报酬所得",VLOOKUP(D10&amp;"*",工资表明细!D:BJ,59,0),F10="全年一次性奖金收入",VLOOKUP(D10&amp;"*",工资表明细!D:BI,58,0),F10="解除劳动合同一次性补偿金",VLOOKUP(D10&amp;"*",工资表明细!D:BH,57,0))</f>
        <v>#N/A</v>
      </c>
      <c r="H10" s="89">
        <f t="shared" si="0"/>
        <v>0</v>
      </c>
      <c r="I10" s="89">
        <v>0</v>
      </c>
      <c r="J10" s="89">
        <f t="shared" si="1"/>
        <v>5000</v>
      </c>
      <c r="K10" s="89" t="e">
        <f>IF(F10="正常工资薪金",VLOOKUP(D10&amp;"*",工资表明细!D:AP,39,0),0)</f>
        <v>#N/A</v>
      </c>
      <c r="L10" s="89" t="e">
        <f>IF(F10="正常工资薪金",VLOOKUP(D10&amp;"*",工资表明细!D:AQ,40,0),0)</f>
        <v>#N/A</v>
      </c>
      <c r="M10" s="89" t="e">
        <f>IF(F10="正常工资薪金",VLOOKUP(D10&amp;"*",工资表明细!D:AR,41,0),0)</f>
        <v>#N/A</v>
      </c>
      <c r="N10" s="89" t="e">
        <f>IF(F10="正常工资薪金",VLOOKUP(D10&amp;"*",工资表明细!D:AT,43,0),0)</f>
        <v>#N/A</v>
      </c>
      <c r="O10" s="89">
        <v>5</v>
      </c>
      <c r="P10" s="89">
        <v>5</v>
      </c>
      <c r="Q10" s="89">
        <v>5</v>
      </c>
      <c r="R10" s="89">
        <v>5</v>
      </c>
      <c r="S10" s="89">
        <v>5</v>
      </c>
      <c r="T10" s="89">
        <v>5</v>
      </c>
      <c r="U10" s="89">
        <v>5</v>
      </c>
      <c r="V10" s="89">
        <v>5</v>
      </c>
      <c r="W10" s="87" t="s">
        <v>272</v>
      </c>
      <c r="X10" s="89">
        <v>5</v>
      </c>
      <c r="Y10" s="87" t="s">
        <v>272</v>
      </c>
      <c r="Z10" s="87" t="s">
        <v>272</v>
      </c>
      <c r="AA10" s="87" t="s">
        <v>272</v>
      </c>
      <c r="AB10" s="89">
        <v>5</v>
      </c>
      <c r="AC10" s="89" t="e">
        <f t="shared" si="2"/>
        <v>#N/A</v>
      </c>
      <c r="AD10" s="89">
        <f t="shared" si="3"/>
        <v>40000</v>
      </c>
      <c r="AE10" s="89" t="e">
        <f t="shared" si="4"/>
        <v>#N/A</v>
      </c>
      <c r="AF10" s="89">
        <f t="shared" si="5"/>
        <v>0</v>
      </c>
      <c r="AG10" s="89">
        <f t="shared" si="6"/>
        <v>0</v>
      </c>
      <c r="AH10" s="89">
        <f t="shared" si="7"/>
        <v>0</v>
      </c>
      <c r="AI10" s="89">
        <f t="shared" si="8"/>
        <v>0</v>
      </c>
      <c r="AJ10" s="89">
        <f t="shared" si="9"/>
        <v>0</v>
      </c>
      <c r="AK10" s="89">
        <f t="shared" si="10"/>
        <v>0</v>
      </c>
      <c r="AL10" s="89">
        <v>0</v>
      </c>
      <c r="AM10" s="89">
        <v>0</v>
      </c>
      <c r="AN10" s="87" t="s">
        <v>273</v>
      </c>
      <c r="AO10" s="89">
        <v>0</v>
      </c>
      <c r="AP10" s="89" t="e">
        <f t="shared" si="11"/>
        <v>#N/A</v>
      </c>
      <c r="AQ10" s="89" t="e" cm="1">
        <f t="array" ref="AQ10">_xlfn.IFS(F10="正常工资薪金",VLOOKUP(AP10,{0,0.03;36000,0.1;144000,0.2;300000,0.25;420000,0.3;660000,0.35;960000,0.45},2,1),F10="一般劳务报酬所得",IF(AP10&lt;=20000,0.2,IF(AP10&lt;=50000,0.3,0.4)),F10="全年一次性奖金收入",VLOOKUP(AP10/12,{0,0.03;3000,0.1;12000,0.2;25000,0.25;35000,0.3;55000,0.35;80000,0.45},2,1),F10="解除劳动合同一次性补偿金",VLOOKUP(AP10,{0,0.03;36000,0.1;144000,0.2;300000,0.25;420000,0.3;660000,0.35;960000,0.45},2,1))</f>
        <v>#N/A</v>
      </c>
      <c r="AR10" s="89" t="e" cm="1">
        <f t="array" ref="AR10">_xlfn.IFS(F10="正常工资薪金",VLOOKUP(AP10,{0,0;36000,2520;144000,16920;300000,31920;420000,52920;660000,85920;960000,181920},2,1),F10="一般劳务报酬所得",IF(AP10&lt;=20000,0,IF(AS&lt;=50000,2000,7000)),F10="全年一次性奖金收入",VLOOKUP(AP10/12,{0,0;3000,210;12000,1410;25000,2660;35000,4410;55000,7160;80000,15160},2,1),F10="解除劳动合同一次性补偿金",VLOOKUP(AP10,{0,0;36000,2520;144000,16920;300000,31920;420000,52920;660000,85920;960000,181920},2,1))</f>
        <v>#N/A</v>
      </c>
      <c r="AS10" s="89" t="e">
        <f t="shared" si="12"/>
        <v>#N/A</v>
      </c>
      <c r="AT10" s="89">
        <v>0</v>
      </c>
      <c r="AU10" s="89">
        <f t="shared" si="13"/>
        <v>566.73</v>
      </c>
      <c r="AV10" s="89" t="e">
        <f t="shared" si="14"/>
        <v>#N/A</v>
      </c>
      <c r="AW10" s="87"/>
      <c r="AX10" s="90">
        <f>IFERROR(IF(F10="正常工资薪金",VLOOKUP(D10&amp;"*",个税上月累计情况!E:AL,26,0),0),0)</f>
        <v>72991.45</v>
      </c>
      <c r="AY10" s="90">
        <f>IFERROR(IF(F10="正常工资薪金",VLOOKUP(D10&amp;"*",个税上月累计情况!E:AL,27,0),0),0)</f>
        <v>35000</v>
      </c>
      <c r="AZ10" s="90">
        <f>IFERROR(IF(F10="正常工资薪金",VLOOKUP(D10&amp;"*",个税上月累计情况!E:AL,28,0),0),0)</f>
        <v>8600.34</v>
      </c>
      <c r="BA10" s="90">
        <f>IFERROR(IF(F10="正常工资薪金",VLOOKUP(D10&amp;"*",个税上月累计情况!E:AL,29,0),0),0)</f>
        <v>0</v>
      </c>
      <c r="BB10" s="90">
        <f>IFERROR(IF(F10="正常工资薪金",VLOOKUP(D10&amp;"*",个税上月累计情况!E:AL,30,0),0),0)</f>
        <v>10500</v>
      </c>
      <c r="BC10" s="90">
        <f>IFERROR(IF(F10="正常工资薪金",VLOOKUP(D10&amp;"*",个税上月累计情况!E:AL,31,0),0),0)</f>
        <v>0</v>
      </c>
      <c r="BD10" s="90">
        <f>IFERROR(IF(F10="正常工资薪金",VLOOKUP(D10&amp;"*",个税上月累计情况!E:AL,32,0),0),0)</f>
        <v>0</v>
      </c>
      <c r="BE10" s="90">
        <f>IFERROR(IF(F10="正常工资薪金",VLOOKUP(D10&amp;"*",个税上月累计情况!E:AL,33,0),0),0)</f>
        <v>0</v>
      </c>
      <c r="BF10" s="90">
        <f>IFERROR(IF(F10="正常工资薪金",VLOOKUP(D10&amp;"*",个税上月累计情况!E:AL,34,0),0),0)</f>
        <v>0</v>
      </c>
      <c r="BG10" s="90">
        <f>IFERROR(IF(F10="正常工资薪金",VLOOKUP(D10&amp;"*",个税上月累计情况!E:AN,35,0),0),0)</f>
        <v>0</v>
      </c>
      <c r="BH10" s="90">
        <f>IFERROR(IF(F10="正常工资薪金",VLOOKUP(D10&amp;"*",个税上月累计情况!E:AN,36,0),0),0)</f>
        <v>0</v>
      </c>
      <c r="BI10" s="90">
        <f>IFERROR(IF(F10="正常工资薪金",VLOOKUP(D10&amp;"*",个税上月累计情况!D:AW,46,0),0),0)</f>
        <v>481.94</v>
      </c>
      <c r="BJ10" s="90">
        <f>IFERROR(IF(F10="正常工资薪金",VLOOKUP(D10&amp;"*",个税上月累计情况!D:AX,47,0),0),0)</f>
        <v>84.79</v>
      </c>
      <c r="BK10" t="e">
        <f>VLOOKUP(B10,花名册!C:N,12,0)</f>
        <v>#N/A</v>
      </c>
    </row>
    <row r="11" ht="19.5" hidden="1" spans="1:63">
      <c r="A11" s="87"/>
      <c r="B11" s="87" t="s">
        <v>285</v>
      </c>
      <c r="C11" s="87" t="s">
        <v>268</v>
      </c>
      <c r="D11" s="87" t="s">
        <v>286</v>
      </c>
      <c r="E11" s="87" t="s">
        <v>270</v>
      </c>
      <c r="F11" s="87" t="s">
        <v>271</v>
      </c>
      <c r="G11" s="89" t="e" cm="1">
        <f t="array" ref="G11">_xlfn.IFS(F11="正常工资薪金",VLOOKUP(D11&amp;"*",工资表明细!D:BL,61,0),F11="一般劳务报酬所得",VLOOKUP(D11&amp;"*",工资表明细!D:BJ,59,0),F11="全年一次性奖金收入",VLOOKUP(D11&amp;"*",工资表明细!D:BI,58,0),F11="解除劳动合同一次性补偿金",VLOOKUP(D11&amp;"*",工资表明细!D:BH,57,0))</f>
        <v>#N/A</v>
      </c>
      <c r="H11" s="89">
        <f t="shared" si="0"/>
        <v>0</v>
      </c>
      <c r="I11" s="89">
        <v>3763.53</v>
      </c>
      <c r="J11" s="89">
        <f t="shared" si="1"/>
        <v>5000</v>
      </c>
      <c r="K11" s="89" t="e">
        <f>IF(F11="正常工资薪金",VLOOKUP(D11&amp;"*",工资表明细!D:AP,39,0),0)</f>
        <v>#N/A</v>
      </c>
      <c r="L11" s="89" t="e">
        <f>IF(F11="正常工资薪金",VLOOKUP(D11&amp;"*",工资表明细!D:AQ,40,0),0)</f>
        <v>#N/A</v>
      </c>
      <c r="M11" s="89" t="e">
        <f>IF(F11="正常工资薪金",VLOOKUP(D11&amp;"*",工资表明细!D:AR,41,0),0)</f>
        <v>#N/A</v>
      </c>
      <c r="N11" s="89" t="e">
        <f>IF(F11="正常工资薪金",VLOOKUP(D11&amp;"*",工资表明细!D:AT,43,0),0)</f>
        <v>#N/A</v>
      </c>
      <c r="O11" s="89">
        <v>6</v>
      </c>
      <c r="P11" s="89">
        <v>6</v>
      </c>
      <c r="Q11" s="89">
        <v>6</v>
      </c>
      <c r="R11" s="89">
        <v>6</v>
      </c>
      <c r="S11" s="89">
        <v>6</v>
      </c>
      <c r="T11" s="89">
        <v>6</v>
      </c>
      <c r="U11" s="89">
        <v>6</v>
      </c>
      <c r="V11" s="89">
        <v>6</v>
      </c>
      <c r="W11" s="87" t="s">
        <v>272</v>
      </c>
      <c r="X11" s="89">
        <v>6</v>
      </c>
      <c r="Y11" s="87" t="s">
        <v>272</v>
      </c>
      <c r="Z11" s="87" t="s">
        <v>272</v>
      </c>
      <c r="AA11" s="87" t="s">
        <v>272</v>
      </c>
      <c r="AB11" s="89">
        <v>6</v>
      </c>
      <c r="AC11" s="89" t="e">
        <f t="shared" si="2"/>
        <v>#N/A</v>
      </c>
      <c r="AD11" s="89">
        <f t="shared" si="3"/>
        <v>40000</v>
      </c>
      <c r="AE11" s="89" t="e">
        <f t="shared" si="4"/>
        <v>#N/A</v>
      </c>
      <c r="AF11" s="89">
        <f t="shared" si="5"/>
        <v>0</v>
      </c>
      <c r="AG11" s="89">
        <f t="shared" si="6"/>
        <v>0</v>
      </c>
      <c r="AH11" s="89">
        <f t="shared" si="7"/>
        <v>0</v>
      </c>
      <c r="AI11" s="89">
        <f t="shared" si="8"/>
        <v>0</v>
      </c>
      <c r="AJ11" s="89">
        <f t="shared" si="9"/>
        <v>0</v>
      </c>
      <c r="AK11" s="89">
        <f t="shared" si="10"/>
        <v>0</v>
      </c>
      <c r="AL11" s="89">
        <v>0</v>
      </c>
      <c r="AM11" s="89">
        <v>0</v>
      </c>
      <c r="AN11" s="87" t="s">
        <v>273</v>
      </c>
      <c r="AO11" s="89">
        <v>0</v>
      </c>
      <c r="AP11" s="89" t="e">
        <f t="shared" si="11"/>
        <v>#N/A</v>
      </c>
      <c r="AQ11" s="89" t="e" cm="1">
        <f t="array" ref="AQ11">_xlfn.IFS(F11="正常工资薪金",VLOOKUP(AP11,{0,0.03;36000,0.1;144000,0.2;300000,0.25;420000,0.3;660000,0.35;960000,0.45},2,1),F11="一般劳务报酬所得",IF(AP11&lt;=20000,0.2,IF(AP11&lt;=50000,0.3,0.4)),F11="全年一次性奖金收入",VLOOKUP(AP11/12,{0,0.03;3000,0.1;12000,0.2;25000,0.25;35000,0.3;55000,0.35;80000,0.45},2,1),F11="解除劳动合同一次性补偿金",VLOOKUP(AP11,{0,0.03;36000,0.1;144000,0.2;300000,0.25;420000,0.3;660000,0.35;960000,0.45},2,1))</f>
        <v>#N/A</v>
      </c>
      <c r="AR11" s="89" t="e" cm="1">
        <f t="array" ref="AR11">_xlfn.IFS(F11="正常工资薪金",VLOOKUP(AP11,{0,0;36000,2520;144000,16920;300000,31920;420000,52920;660000,85920;960000,181920},2,1),F11="一般劳务报酬所得",IF(AP11&lt;=20000,0,IF(AS&lt;=50000,2000,7000)),F11="全年一次性奖金收入",VLOOKUP(AP11/12,{0,0;3000,210;12000,1410;25000,2660;35000,4410;55000,7160;80000,15160},2,1),F11="解除劳动合同一次性补偿金",VLOOKUP(AP11,{0,0;36000,2520;144000,16920;300000,31920;420000,52920;660000,85920;960000,181920},2,1))</f>
        <v>#N/A</v>
      </c>
      <c r="AS11" s="89" t="e">
        <f t="shared" si="12"/>
        <v>#N/A</v>
      </c>
      <c r="AT11" s="89">
        <v>0</v>
      </c>
      <c r="AU11" s="89">
        <f t="shared" si="13"/>
        <v>436.85</v>
      </c>
      <c r="AV11" s="89" t="e">
        <f t="shared" si="14"/>
        <v>#N/A</v>
      </c>
      <c r="AW11" s="87"/>
      <c r="AX11" s="90">
        <f>IFERROR(IF(F11="正常工资薪金",VLOOKUP(D11&amp;"*",个税上月累计情况!E:AL,26,0),0),0)</f>
        <v>48198.57</v>
      </c>
      <c r="AY11" s="90">
        <f>IFERROR(IF(F11="正常工资薪金",VLOOKUP(D11&amp;"*",个税上月累计情况!E:AL,27,0),0),0)</f>
        <v>35000</v>
      </c>
      <c r="AZ11" s="90">
        <f>IFERROR(IF(F11="正常工资薪金",VLOOKUP(D11&amp;"*",个税上月累计情况!E:AL,28,0),0),0)</f>
        <v>9719.43</v>
      </c>
      <c r="BA11" s="90">
        <f>IFERROR(IF(F11="正常工资薪金",VLOOKUP(D11&amp;"*",个税上月累计情况!E:AL,29,0),0),0)</f>
        <v>0</v>
      </c>
      <c r="BB11" s="90">
        <f>IFERROR(IF(F11="正常工资薪金",VLOOKUP(D11&amp;"*",个税上月累计情况!E:AL,30,0),0),0)</f>
        <v>0</v>
      </c>
      <c r="BC11" s="90">
        <f>IFERROR(IF(F11="正常工资薪金",VLOOKUP(D11&amp;"*",个税上月累计情况!E:AL,31,0),0),0)</f>
        <v>0</v>
      </c>
      <c r="BD11" s="90">
        <f>IFERROR(IF(F11="正常工资薪金",VLOOKUP(D11&amp;"*",个税上月累计情况!E:AL,32,0),0),0)</f>
        <v>10500</v>
      </c>
      <c r="BE11" s="90">
        <f>IFERROR(IF(F11="正常工资薪金",VLOOKUP(D11&amp;"*",个税上月累计情况!E:AL,33,0),0),0)</f>
        <v>0</v>
      </c>
      <c r="BF11" s="90">
        <f>IFERROR(IF(F11="正常工资薪金",VLOOKUP(D11&amp;"*",个税上月累计情况!E:AL,34,0),0),0)</f>
        <v>0</v>
      </c>
      <c r="BG11" s="90">
        <f>IFERROR(IF(F11="正常工资薪金",VLOOKUP(D11&amp;"*",个税上月累计情况!E:AN,35,0),0),0)</f>
        <v>0</v>
      </c>
      <c r="BH11" s="90">
        <f>IFERROR(IF(F11="正常工资薪金",VLOOKUP(D11&amp;"*",个税上月累计情况!E:AN,36,0),0),0)</f>
        <v>0</v>
      </c>
      <c r="BI11" s="90">
        <f>IFERROR(IF(F11="正常工资薪金",VLOOKUP(D11&amp;"*",个税上月累计情况!D:AW,46,0),0),0)</f>
        <v>436.85</v>
      </c>
      <c r="BJ11" s="90">
        <f>IFERROR(IF(F11="正常工资薪金",VLOOKUP(D11&amp;"*",个税上月累计情况!D:AX,47,0),0),0)</f>
        <v>0</v>
      </c>
      <c r="BK11" t="e">
        <f>VLOOKUP(B11,花名册!C:N,12,0)</f>
        <v>#N/A</v>
      </c>
    </row>
    <row r="12" ht="19.5" hidden="1" spans="1:63">
      <c r="A12" s="87"/>
      <c r="B12" s="87" t="s">
        <v>287</v>
      </c>
      <c r="C12" s="87" t="s">
        <v>268</v>
      </c>
      <c r="D12" s="87" t="s">
        <v>288</v>
      </c>
      <c r="E12" s="87" t="s">
        <v>270</v>
      </c>
      <c r="F12" s="87" t="s">
        <v>271</v>
      </c>
      <c r="G12" s="89" t="e" cm="1">
        <f t="array" ref="G12">_xlfn.IFS(F12="正常工资薪金",VLOOKUP(D12&amp;"*",工资表明细!D:BL,61,0),F12="一般劳务报酬所得",VLOOKUP(D12&amp;"*",工资表明细!D:BJ,59,0),F12="全年一次性奖金收入",VLOOKUP(D12&amp;"*",工资表明细!D:BI,58,0),F12="解除劳动合同一次性补偿金",VLOOKUP(D12&amp;"*",工资表明细!D:BH,57,0))</f>
        <v>#N/A</v>
      </c>
      <c r="H12" s="89">
        <f t="shared" si="0"/>
        <v>0</v>
      </c>
      <c r="I12" s="89">
        <v>0</v>
      </c>
      <c r="J12" s="89">
        <f t="shared" si="1"/>
        <v>5000</v>
      </c>
      <c r="K12" s="89" t="e">
        <f>IF(F12="正常工资薪金",VLOOKUP(D12&amp;"*",工资表明细!D:AP,39,0),0)</f>
        <v>#N/A</v>
      </c>
      <c r="L12" s="89" t="e">
        <f>IF(F12="正常工资薪金",VLOOKUP(D12&amp;"*",工资表明细!D:AQ,40,0),0)</f>
        <v>#N/A</v>
      </c>
      <c r="M12" s="89" t="e">
        <f>IF(F12="正常工资薪金",VLOOKUP(D12&amp;"*",工资表明细!D:AR,41,0),0)</f>
        <v>#N/A</v>
      </c>
      <c r="N12" s="89" t="e">
        <f>IF(F12="正常工资薪金",VLOOKUP(D12&amp;"*",工资表明细!D:AT,43,0),0)</f>
        <v>#N/A</v>
      </c>
      <c r="O12" s="89">
        <v>7</v>
      </c>
      <c r="P12" s="89">
        <v>7</v>
      </c>
      <c r="Q12" s="89">
        <v>7</v>
      </c>
      <c r="R12" s="89">
        <v>7</v>
      </c>
      <c r="S12" s="89">
        <v>7</v>
      </c>
      <c r="T12" s="89">
        <v>7</v>
      </c>
      <c r="U12" s="89">
        <v>7</v>
      </c>
      <c r="V12" s="89">
        <v>7</v>
      </c>
      <c r="W12" s="87" t="s">
        <v>272</v>
      </c>
      <c r="X12" s="89">
        <v>7</v>
      </c>
      <c r="Y12" s="87" t="s">
        <v>272</v>
      </c>
      <c r="Z12" s="87" t="s">
        <v>272</v>
      </c>
      <c r="AA12" s="87" t="s">
        <v>272</v>
      </c>
      <c r="AB12" s="89">
        <v>7</v>
      </c>
      <c r="AC12" s="89" t="e">
        <f t="shared" si="2"/>
        <v>#N/A</v>
      </c>
      <c r="AD12" s="89">
        <f t="shared" si="3"/>
        <v>40000</v>
      </c>
      <c r="AE12" s="89" t="e">
        <f t="shared" si="4"/>
        <v>#N/A</v>
      </c>
      <c r="AF12" s="89">
        <f t="shared" si="5"/>
        <v>0</v>
      </c>
      <c r="AG12" s="89">
        <f t="shared" si="6"/>
        <v>0</v>
      </c>
      <c r="AH12" s="89">
        <f t="shared" si="7"/>
        <v>0</v>
      </c>
      <c r="AI12" s="89">
        <f t="shared" si="8"/>
        <v>0</v>
      </c>
      <c r="AJ12" s="89">
        <f t="shared" si="9"/>
        <v>0</v>
      </c>
      <c r="AK12" s="89">
        <f t="shared" si="10"/>
        <v>0</v>
      </c>
      <c r="AL12" s="89">
        <v>0</v>
      </c>
      <c r="AM12" s="89">
        <v>0</v>
      </c>
      <c r="AN12" s="87" t="s">
        <v>273</v>
      </c>
      <c r="AO12" s="89">
        <v>0</v>
      </c>
      <c r="AP12" s="89" t="e">
        <f t="shared" si="11"/>
        <v>#N/A</v>
      </c>
      <c r="AQ12" s="89" t="e" cm="1">
        <f t="array" ref="AQ12">_xlfn.IFS(F12="正常工资薪金",VLOOKUP(AP12,{0,0.03;36000,0.1;144000,0.2;300000,0.25;420000,0.3;660000,0.35;960000,0.45},2,1),F12="一般劳务报酬所得",IF(AP12&lt;=20000,0.2,IF(AP12&lt;=50000,0.3,0.4)),F12="全年一次性奖金收入",VLOOKUP(AP12/12,{0,0.03;3000,0.1;12000,0.2;25000,0.25;35000,0.3;55000,0.35;80000,0.45},2,1),F12="解除劳动合同一次性补偿金",VLOOKUP(AP12,{0,0.03;36000,0.1;144000,0.2;300000,0.25;420000,0.3;660000,0.35;960000,0.45},2,1))</f>
        <v>#N/A</v>
      </c>
      <c r="AR12" s="89" t="e" cm="1">
        <f t="array" ref="AR12">_xlfn.IFS(F12="正常工资薪金",VLOOKUP(AP12,{0,0;36000,2520;144000,16920;300000,31920;420000,52920;660000,85920;960000,181920},2,1),F12="一般劳务报酬所得",IF(AP12&lt;=20000,0,IF(AS&lt;=50000,2000,7000)),F12="全年一次性奖金收入",VLOOKUP(AP12/12,{0,0;3000,210;12000,1410;25000,2660;35000,4410;55000,7160;80000,15160},2,1),F12="解除劳动合同一次性补偿金",VLOOKUP(AP12,{0,0;36000,2520;144000,16920;300000,31920;420000,52920;660000,85920;960000,181920},2,1))</f>
        <v>#N/A</v>
      </c>
      <c r="AS12" s="89" t="e">
        <f t="shared" si="12"/>
        <v>#N/A</v>
      </c>
      <c r="AT12" s="89">
        <v>0</v>
      </c>
      <c r="AU12" s="89">
        <f t="shared" si="13"/>
        <v>5150.77</v>
      </c>
      <c r="AV12" s="89" t="e">
        <f t="shared" si="14"/>
        <v>#N/A</v>
      </c>
      <c r="AW12" s="87"/>
      <c r="AX12" s="90">
        <f>IFERROR(IF(F12="正常工资薪金",VLOOKUP(D12&amp;"*",个税上月累计情况!E:AL,26,0),0),0)</f>
        <v>147222.56</v>
      </c>
      <c r="AY12" s="90">
        <f>IFERROR(IF(F12="正常工资薪金",VLOOKUP(D12&amp;"*",个税上月累计情况!E:AL,27,0),0),0)</f>
        <v>35000</v>
      </c>
      <c r="AZ12" s="90">
        <f>IFERROR(IF(F12="正常工资薪金",VLOOKUP(D12&amp;"*",个税上月累计情况!E:AL,28,0),0),0)</f>
        <v>25014.85</v>
      </c>
      <c r="BA12" s="90">
        <f>IFERROR(IF(F12="正常工资薪金",VLOOKUP(D12&amp;"*",个税上月累计情况!E:AL,29,0),0),0)</f>
        <v>0</v>
      </c>
      <c r="BB12" s="90">
        <f>IFERROR(IF(F12="正常工资薪金",VLOOKUP(D12&amp;"*",个税上月累计情况!E:AL,30,0),0),0)</f>
        <v>0</v>
      </c>
      <c r="BC12" s="90">
        <f>IFERROR(IF(F12="正常工资薪金",VLOOKUP(D12&amp;"*",个税上月累计情况!E:AL,31,0),0),0)</f>
        <v>0</v>
      </c>
      <c r="BD12" s="90">
        <f>IFERROR(IF(F12="正常工资薪金",VLOOKUP(D12&amp;"*",个税上月累计情况!E:AL,32,0),0),0)</f>
        <v>10500</v>
      </c>
      <c r="BE12" s="90">
        <f>IFERROR(IF(F12="正常工资薪金",VLOOKUP(D12&amp;"*",个税上月累计情况!E:AL,33,0),0),0)</f>
        <v>0</v>
      </c>
      <c r="BF12" s="90">
        <f>IFERROR(IF(F12="正常工资薪金",VLOOKUP(D12&amp;"*",个税上月累计情况!E:AL,34,0),0),0)</f>
        <v>0</v>
      </c>
      <c r="BG12" s="90">
        <f>IFERROR(IF(F12="正常工资薪金",VLOOKUP(D12&amp;"*",个税上月累计情况!E:AN,35,0),0),0)</f>
        <v>0</v>
      </c>
      <c r="BH12" s="90">
        <f>IFERROR(IF(F12="正常工资薪金",VLOOKUP(D12&amp;"*",个税上月累计情况!E:AN,36,0),0),0)</f>
        <v>0</v>
      </c>
      <c r="BI12" s="90">
        <f>IFERROR(IF(F12="正常工资薪金",VLOOKUP(D12&amp;"*",个税上月累计情况!D:AW,46,0),0),0)</f>
        <v>4202.79</v>
      </c>
      <c r="BJ12" s="90">
        <f>IFERROR(IF(F12="正常工资薪金",VLOOKUP(D12&amp;"*",个税上月累计情况!D:AX,47,0),0),0)</f>
        <v>947.98</v>
      </c>
      <c r="BK12" t="e">
        <f>VLOOKUP(B12,花名册!C:N,12,0)</f>
        <v>#N/A</v>
      </c>
    </row>
    <row r="13" ht="19.5" hidden="1" spans="1:63">
      <c r="A13" s="87"/>
      <c r="B13" s="87" t="s">
        <v>289</v>
      </c>
      <c r="C13" s="87" t="s">
        <v>268</v>
      </c>
      <c r="D13" s="87" t="s">
        <v>290</v>
      </c>
      <c r="E13" s="87" t="s">
        <v>270</v>
      </c>
      <c r="F13" s="87" t="s">
        <v>271</v>
      </c>
      <c r="G13" s="89" t="e" cm="1">
        <f t="array" ref="G13">_xlfn.IFS(F13="正常工资薪金",VLOOKUP(D13&amp;"*",工资表明细!D:BL,61,0),F13="一般劳务报酬所得",VLOOKUP(D13&amp;"*",工资表明细!D:BJ,59,0),F13="全年一次性奖金收入",VLOOKUP(D13&amp;"*",工资表明细!D:BI,58,0),F13="解除劳动合同一次性补偿金",VLOOKUP(D13&amp;"*",工资表明细!D:BH,57,0))</f>
        <v>#N/A</v>
      </c>
      <c r="H13" s="89">
        <f t="shared" si="0"/>
        <v>0</v>
      </c>
      <c r="I13" s="89">
        <v>0</v>
      </c>
      <c r="J13" s="89">
        <f t="shared" si="1"/>
        <v>5000</v>
      </c>
      <c r="K13" s="89" t="e">
        <f>IF(F13="正常工资薪金",VLOOKUP(D13&amp;"*",工资表明细!D:AP,39,0),0)</f>
        <v>#N/A</v>
      </c>
      <c r="L13" s="89" t="e">
        <f>IF(F13="正常工资薪金",VLOOKUP(D13&amp;"*",工资表明细!D:AQ,40,0),0)</f>
        <v>#N/A</v>
      </c>
      <c r="M13" s="89" t="e">
        <f>IF(F13="正常工资薪金",VLOOKUP(D13&amp;"*",工资表明细!D:AR,41,0),0)</f>
        <v>#N/A</v>
      </c>
      <c r="N13" s="89" t="e">
        <f>IF(F13="正常工资薪金",VLOOKUP(D13&amp;"*",工资表明细!D:AT,43,0),0)</f>
        <v>#N/A</v>
      </c>
      <c r="O13" s="89">
        <v>8</v>
      </c>
      <c r="P13" s="89">
        <v>8</v>
      </c>
      <c r="Q13" s="89">
        <v>8</v>
      </c>
      <c r="R13" s="89">
        <v>8</v>
      </c>
      <c r="S13" s="89">
        <v>8</v>
      </c>
      <c r="T13" s="89">
        <v>8</v>
      </c>
      <c r="U13" s="89">
        <v>8</v>
      </c>
      <c r="V13" s="89">
        <v>8</v>
      </c>
      <c r="W13" s="87" t="s">
        <v>272</v>
      </c>
      <c r="X13" s="89">
        <v>8</v>
      </c>
      <c r="Y13" s="87" t="s">
        <v>272</v>
      </c>
      <c r="Z13" s="87" t="s">
        <v>272</v>
      </c>
      <c r="AA13" s="87" t="s">
        <v>272</v>
      </c>
      <c r="AB13" s="89">
        <v>8</v>
      </c>
      <c r="AC13" s="89" t="e">
        <f t="shared" si="2"/>
        <v>#N/A</v>
      </c>
      <c r="AD13" s="89">
        <f t="shared" si="3"/>
        <v>40000</v>
      </c>
      <c r="AE13" s="89" t="e">
        <f t="shared" si="4"/>
        <v>#N/A</v>
      </c>
      <c r="AF13" s="89">
        <f t="shared" si="5"/>
        <v>0</v>
      </c>
      <c r="AG13" s="89">
        <f t="shared" si="6"/>
        <v>0</v>
      </c>
      <c r="AH13" s="89">
        <f t="shared" si="7"/>
        <v>0</v>
      </c>
      <c r="AI13" s="89">
        <f t="shared" si="8"/>
        <v>0</v>
      </c>
      <c r="AJ13" s="89">
        <f t="shared" si="9"/>
        <v>0</v>
      </c>
      <c r="AK13" s="89">
        <f t="shared" si="10"/>
        <v>0</v>
      </c>
      <c r="AL13" s="89">
        <v>0</v>
      </c>
      <c r="AM13" s="89">
        <v>0</v>
      </c>
      <c r="AN13" s="87" t="s">
        <v>273</v>
      </c>
      <c r="AO13" s="89">
        <v>0</v>
      </c>
      <c r="AP13" s="89" t="e">
        <f t="shared" si="11"/>
        <v>#N/A</v>
      </c>
      <c r="AQ13" s="89" t="e" cm="1">
        <f t="array" ref="AQ13">_xlfn.IFS(F13="正常工资薪金",VLOOKUP(AP13,{0,0.03;36000,0.1;144000,0.2;300000,0.25;420000,0.3;660000,0.35;960000,0.45},2,1),F13="一般劳务报酬所得",IF(AP13&lt;=20000,0.2,IF(AP13&lt;=50000,0.3,0.4)),F13="全年一次性奖金收入",VLOOKUP(AP13/12,{0,0.03;3000,0.1;12000,0.2;25000,0.25;35000,0.3;55000,0.35;80000,0.45},2,1),F13="解除劳动合同一次性补偿金",VLOOKUP(AP13,{0,0.03;36000,0.1;144000,0.2;300000,0.25;420000,0.3;660000,0.35;960000,0.45},2,1))</f>
        <v>#N/A</v>
      </c>
      <c r="AR13" s="89" t="e" cm="1">
        <f t="array" ref="AR13">_xlfn.IFS(F13="正常工资薪金",VLOOKUP(AP13,{0,0;36000,2520;144000,16920;300000,31920;420000,52920;660000,85920;960000,181920},2,1),F13="一般劳务报酬所得",IF(AP13&lt;=20000,0,IF(AS&lt;=50000,2000,7000)),F13="全年一次性奖金收入",VLOOKUP(AP13/12,{0,0;3000,210;12000,1410;25000,2660;35000,4410;55000,7160;80000,15160},2,1),F13="解除劳动合同一次性补偿金",VLOOKUP(AP13,{0,0;36000,2520;144000,16920;300000,31920;420000,52920;660000,85920;960000,181920},2,1))</f>
        <v>#N/A</v>
      </c>
      <c r="AS13" s="89" t="e">
        <f t="shared" si="12"/>
        <v>#N/A</v>
      </c>
      <c r="AT13" s="89">
        <v>0</v>
      </c>
      <c r="AU13" s="89">
        <f t="shared" si="13"/>
        <v>13809.79</v>
      </c>
      <c r="AV13" s="89" t="e">
        <f t="shared" si="14"/>
        <v>#N/A</v>
      </c>
      <c r="AW13" s="87"/>
      <c r="AX13" s="90">
        <f>IFERROR(IF(F13="正常工资薪金",VLOOKUP(D13&amp;"*",个税上月累计情况!E:AL,26,0),0),0)</f>
        <v>226856.07</v>
      </c>
      <c r="AY13" s="90">
        <f>IFERROR(IF(F13="正常工资薪金",VLOOKUP(D13&amp;"*",个税上月累计情况!E:AL,27,0),0),0)</f>
        <v>35000</v>
      </c>
      <c r="AZ13" s="90">
        <f>IFERROR(IF(F13="正常工资薪金",VLOOKUP(D13&amp;"*",个税上月累计情况!E:AL,28,0),0),0)</f>
        <v>38207.12</v>
      </c>
      <c r="BA13" s="90">
        <f>IFERROR(IF(F13="正常工资薪金",VLOOKUP(D13&amp;"*",个税上月累计情况!E:AL,29,0),0),0)</f>
        <v>0</v>
      </c>
      <c r="BB13" s="90">
        <f>IFERROR(IF(F13="正常工资薪金",VLOOKUP(D13&amp;"*",个税上月累计情况!E:AL,30,0),0),0)</f>
        <v>0</v>
      </c>
      <c r="BC13" s="90">
        <f>IFERROR(IF(F13="正常工资薪金",VLOOKUP(D13&amp;"*",个税上月累计情况!E:AL,31,0),0),0)</f>
        <v>0</v>
      </c>
      <c r="BD13" s="90">
        <f>IFERROR(IF(F13="正常工资薪金",VLOOKUP(D13&amp;"*",个税上月累计情况!E:AL,32,0),0),0)</f>
        <v>0</v>
      </c>
      <c r="BE13" s="90">
        <f>IFERROR(IF(F13="正常工资薪金",VLOOKUP(D13&amp;"*",个税上月累计情况!E:AL,33,0),0),0)</f>
        <v>0</v>
      </c>
      <c r="BF13" s="90">
        <f>IFERROR(IF(F13="正常工资薪金",VLOOKUP(D13&amp;"*",个税上月累计情况!E:AL,34,0),0),0)</f>
        <v>0</v>
      </c>
      <c r="BG13" s="90">
        <f>IFERROR(IF(F13="正常工资薪金",VLOOKUP(D13&amp;"*",个税上月累计情况!E:AN,35,0),0),0)</f>
        <v>0</v>
      </c>
      <c r="BH13" s="90">
        <f>IFERROR(IF(F13="正常工资薪金",VLOOKUP(D13&amp;"*",个税上月累计情况!E:AN,36,0),0),0)</f>
        <v>0</v>
      </c>
      <c r="BI13" s="90">
        <f>IFERROR(IF(F13="正常工资薪金",VLOOKUP(D13&amp;"*",个税上月累计情况!D:AW,46,0),0),0)</f>
        <v>10649.91</v>
      </c>
      <c r="BJ13" s="90">
        <f>IFERROR(IF(F13="正常工资薪金",VLOOKUP(D13&amp;"*",个税上月累计情况!D:AX,47,0),0),0)</f>
        <v>3159.88</v>
      </c>
      <c r="BK13" t="e">
        <f>VLOOKUP(B13,花名册!C:N,12,0)</f>
        <v>#N/A</v>
      </c>
    </row>
    <row r="14" ht="19.5" hidden="1" spans="1:63">
      <c r="A14" s="87"/>
      <c r="B14" s="87" t="s">
        <v>291</v>
      </c>
      <c r="C14" s="87" t="s">
        <v>268</v>
      </c>
      <c r="D14" s="87" t="s">
        <v>292</v>
      </c>
      <c r="E14" s="87" t="s">
        <v>270</v>
      </c>
      <c r="F14" s="87" t="s">
        <v>271</v>
      </c>
      <c r="G14" s="89" t="e" cm="1">
        <f t="array" ref="G14">_xlfn.IFS(F14="正常工资薪金",VLOOKUP(D14&amp;"*",工资表明细!D:BL,61,0),F14="一般劳务报酬所得",VLOOKUP(D14&amp;"*",工资表明细!D:BJ,59,0),F14="全年一次性奖金收入",VLOOKUP(D14&amp;"*",工资表明细!D:BI,58,0),F14="解除劳动合同一次性补偿金",VLOOKUP(D14&amp;"*",工资表明细!D:BH,57,0))</f>
        <v>#N/A</v>
      </c>
      <c r="H14" s="89">
        <f t="shared" si="0"/>
        <v>0</v>
      </c>
      <c r="I14" s="89">
        <v>0</v>
      </c>
      <c r="J14" s="89">
        <f t="shared" si="1"/>
        <v>5000</v>
      </c>
      <c r="K14" s="89" t="e">
        <f>IF(F14="正常工资薪金",VLOOKUP(D14&amp;"*",工资表明细!D:AP,39,0),0)</f>
        <v>#N/A</v>
      </c>
      <c r="L14" s="89" t="e">
        <f>IF(F14="正常工资薪金",VLOOKUP(D14&amp;"*",工资表明细!D:AQ,40,0),0)</f>
        <v>#N/A</v>
      </c>
      <c r="M14" s="89" t="e">
        <f>IF(F14="正常工资薪金",VLOOKUP(D14&amp;"*",工资表明细!D:AR,41,0),0)</f>
        <v>#N/A</v>
      </c>
      <c r="N14" s="89" t="e">
        <f>IF(F14="正常工资薪金",VLOOKUP(D14&amp;"*",工资表明细!D:AT,43,0),0)</f>
        <v>#N/A</v>
      </c>
      <c r="O14" s="89">
        <v>9</v>
      </c>
      <c r="P14" s="89">
        <v>9</v>
      </c>
      <c r="Q14" s="89">
        <v>9</v>
      </c>
      <c r="R14" s="89">
        <v>9</v>
      </c>
      <c r="S14" s="89">
        <v>9</v>
      </c>
      <c r="T14" s="89">
        <v>9</v>
      </c>
      <c r="U14" s="89">
        <v>9</v>
      </c>
      <c r="V14" s="89">
        <v>9</v>
      </c>
      <c r="W14" s="87" t="s">
        <v>272</v>
      </c>
      <c r="X14" s="89">
        <v>9</v>
      </c>
      <c r="Y14" s="87" t="s">
        <v>272</v>
      </c>
      <c r="Z14" s="87" t="s">
        <v>272</v>
      </c>
      <c r="AA14" s="87" t="s">
        <v>272</v>
      </c>
      <c r="AB14" s="89">
        <v>9</v>
      </c>
      <c r="AC14" s="89" t="e">
        <f t="shared" si="2"/>
        <v>#N/A</v>
      </c>
      <c r="AD14" s="89">
        <f t="shared" si="3"/>
        <v>40000</v>
      </c>
      <c r="AE14" s="89" t="e">
        <f t="shared" si="4"/>
        <v>#N/A</v>
      </c>
      <c r="AF14" s="89">
        <f t="shared" si="5"/>
        <v>0</v>
      </c>
      <c r="AG14" s="89">
        <f t="shared" si="6"/>
        <v>0</v>
      </c>
      <c r="AH14" s="89">
        <f t="shared" si="7"/>
        <v>0</v>
      </c>
      <c r="AI14" s="89">
        <f t="shared" si="8"/>
        <v>0</v>
      </c>
      <c r="AJ14" s="89">
        <f t="shared" si="9"/>
        <v>0</v>
      </c>
      <c r="AK14" s="89">
        <f t="shared" si="10"/>
        <v>0</v>
      </c>
      <c r="AL14" s="89">
        <v>0</v>
      </c>
      <c r="AM14" s="89">
        <v>0</v>
      </c>
      <c r="AN14" s="87" t="s">
        <v>273</v>
      </c>
      <c r="AO14" s="89">
        <v>0</v>
      </c>
      <c r="AP14" s="89" t="e">
        <f t="shared" si="11"/>
        <v>#N/A</v>
      </c>
      <c r="AQ14" s="89" t="e" cm="1">
        <f t="array" ref="AQ14">_xlfn.IFS(F14="正常工资薪金",VLOOKUP(AP14,{0,0.03;36000,0.1;144000,0.2;300000,0.25;420000,0.3;660000,0.35;960000,0.45},2,1),F14="一般劳务报酬所得",IF(AP14&lt;=20000,0.2,IF(AP14&lt;=50000,0.3,0.4)),F14="全年一次性奖金收入",VLOOKUP(AP14/12,{0,0.03;3000,0.1;12000,0.2;25000,0.25;35000,0.3;55000,0.35;80000,0.45},2,1),F14="解除劳动合同一次性补偿金",VLOOKUP(AP14,{0,0.03;36000,0.1;144000,0.2;300000,0.25;420000,0.3;660000,0.35;960000,0.45},2,1))</f>
        <v>#N/A</v>
      </c>
      <c r="AR14" s="89" t="e" cm="1">
        <f t="array" ref="AR14">_xlfn.IFS(F14="正常工资薪金",VLOOKUP(AP14,{0,0;36000,2520;144000,16920;300000,31920;420000,52920;660000,85920;960000,181920},2,1),F14="一般劳务报酬所得",IF(AP14&lt;=20000,0,IF(AS&lt;=50000,2000,7000)),F14="全年一次性奖金收入",VLOOKUP(AP14/12,{0,0;3000,210;12000,1410;25000,2660;35000,4410;55000,7160;80000,15160},2,1),F14="解除劳动合同一次性补偿金",VLOOKUP(AP14,{0,0;36000,2520;144000,16920;300000,31920;420000,52920;660000,85920;960000,181920},2,1))</f>
        <v>#N/A</v>
      </c>
      <c r="AS14" s="89" t="e">
        <f t="shared" si="12"/>
        <v>#N/A</v>
      </c>
      <c r="AT14" s="89">
        <v>0</v>
      </c>
      <c r="AU14" s="89">
        <f t="shared" si="13"/>
        <v>4043.85</v>
      </c>
      <c r="AV14" s="89" t="e">
        <f t="shared" si="14"/>
        <v>#N/A</v>
      </c>
      <c r="AW14" s="87"/>
      <c r="AX14" s="90">
        <f>IFERROR(IF(F14="正常工资薪金",VLOOKUP(D14&amp;"*",个税上月累计情况!E:AL,26,0),0),0)</f>
        <v>112643.55</v>
      </c>
      <c r="AY14" s="90">
        <f>IFERROR(IF(F14="正常工资薪金",VLOOKUP(D14&amp;"*",个税上月累计情况!E:AL,27,0),0),0)</f>
        <v>35000</v>
      </c>
      <c r="AZ14" s="90">
        <f>IFERROR(IF(F14="正常工资薪金",VLOOKUP(D14&amp;"*",个税上月累计情况!E:AL,28,0),0),0)</f>
        <v>12005.07</v>
      </c>
      <c r="BA14" s="90">
        <f>IFERROR(IF(F14="正常工资薪金",VLOOKUP(D14&amp;"*",个税上月累计情况!E:AL,29,0),0),0)</f>
        <v>0</v>
      </c>
      <c r="BB14" s="90">
        <f>IFERROR(IF(F14="正常工资薪金",VLOOKUP(D14&amp;"*",个税上月累计情况!E:AL,30,0),0),0)</f>
        <v>0</v>
      </c>
      <c r="BC14" s="90">
        <f>IFERROR(IF(F14="正常工资薪金",VLOOKUP(D14&amp;"*",个税上月累计情况!E:AL,31,0),0),0)</f>
        <v>0</v>
      </c>
      <c r="BD14" s="90">
        <f>IFERROR(IF(F14="正常工资薪金",VLOOKUP(D14&amp;"*",个税上月累计情况!E:AL,32,0),0),0)</f>
        <v>0</v>
      </c>
      <c r="BE14" s="90">
        <f>IFERROR(IF(F14="正常工资薪金",VLOOKUP(D14&amp;"*",个税上月累计情况!E:AL,33,0),0),0)</f>
        <v>0</v>
      </c>
      <c r="BF14" s="90">
        <f>IFERROR(IF(F14="正常工资薪金",VLOOKUP(D14&amp;"*",个税上月累计情况!E:AL,34,0),0),0)</f>
        <v>0</v>
      </c>
      <c r="BG14" s="90">
        <f>IFERROR(IF(F14="正常工资薪金",VLOOKUP(D14&amp;"*",个税上月累计情况!E:AN,35,0),0),0)</f>
        <v>0</v>
      </c>
      <c r="BH14" s="90">
        <f>IFERROR(IF(F14="正常工资薪金",VLOOKUP(D14&amp;"*",个税上月累计情况!E:AN,36,0),0),0)</f>
        <v>0</v>
      </c>
      <c r="BI14" s="90">
        <f>IFERROR(IF(F14="正常工资薪金",VLOOKUP(D14&amp;"*",个税上月累计情况!D:AW,46,0),0),0)</f>
        <v>3107.68</v>
      </c>
      <c r="BJ14" s="90">
        <f>IFERROR(IF(F14="正常工资薪金",VLOOKUP(D14&amp;"*",个税上月累计情况!D:AX,47,0),0),0)</f>
        <v>936.17</v>
      </c>
      <c r="BK14" t="e">
        <f>VLOOKUP(B14,花名册!C:N,12,0)</f>
        <v>#N/A</v>
      </c>
    </row>
    <row r="15" ht="19.5" hidden="1" spans="1:63">
      <c r="A15" s="87"/>
      <c r="B15" s="87" t="s">
        <v>293</v>
      </c>
      <c r="C15" s="87" t="s">
        <v>268</v>
      </c>
      <c r="D15" s="87" t="s">
        <v>294</v>
      </c>
      <c r="E15" s="87" t="s">
        <v>270</v>
      </c>
      <c r="F15" s="87" t="s">
        <v>271</v>
      </c>
      <c r="G15" s="89" t="e" cm="1">
        <f t="array" ref="G15">_xlfn.IFS(F15="正常工资薪金",VLOOKUP(D15&amp;"*",工资表明细!D:BL,61,0),F15="一般劳务报酬所得",VLOOKUP(D15&amp;"*",工资表明细!D:BJ,59,0),F15="全年一次性奖金收入",VLOOKUP(D15&amp;"*",工资表明细!D:BI,58,0),F15="解除劳动合同一次性补偿金",VLOOKUP(D15&amp;"*",工资表明细!D:BH,57,0))</f>
        <v>#N/A</v>
      </c>
      <c r="H15" s="89">
        <f t="shared" si="0"/>
        <v>0</v>
      </c>
      <c r="I15" s="89">
        <v>0</v>
      </c>
      <c r="J15" s="89">
        <f t="shared" si="1"/>
        <v>5000</v>
      </c>
      <c r="K15" s="89" t="e">
        <f>IF(F15="正常工资薪金",VLOOKUP(D15&amp;"*",工资表明细!D:AP,39,0),0)</f>
        <v>#N/A</v>
      </c>
      <c r="L15" s="89" t="e">
        <f>IF(F15="正常工资薪金",VLOOKUP(D15&amp;"*",工资表明细!D:AQ,40,0),0)</f>
        <v>#N/A</v>
      </c>
      <c r="M15" s="89" t="e">
        <f>IF(F15="正常工资薪金",VLOOKUP(D15&amp;"*",工资表明细!D:AR,41,0),0)</f>
        <v>#N/A</v>
      </c>
      <c r="N15" s="89" t="e">
        <f>IF(F15="正常工资薪金",VLOOKUP(D15&amp;"*",工资表明细!D:AT,43,0),0)</f>
        <v>#N/A</v>
      </c>
      <c r="O15" s="89">
        <v>10</v>
      </c>
      <c r="P15" s="89">
        <v>10</v>
      </c>
      <c r="Q15" s="89">
        <v>10</v>
      </c>
      <c r="R15" s="89">
        <v>10</v>
      </c>
      <c r="S15" s="89">
        <v>10</v>
      </c>
      <c r="T15" s="89">
        <v>10</v>
      </c>
      <c r="U15" s="89">
        <v>10</v>
      </c>
      <c r="V15" s="89">
        <v>10</v>
      </c>
      <c r="W15" s="87" t="s">
        <v>272</v>
      </c>
      <c r="X15" s="89">
        <v>10</v>
      </c>
      <c r="Y15" s="87" t="s">
        <v>272</v>
      </c>
      <c r="Z15" s="87" t="s">
        <v>272</v>
      </c>
      <c r="AA15" s="87" t="s">
        <v>272</v>
      </c>
      <c r="AB15" s="89">
        <v>10</v>
      </c>
      <c r="AC15" s="89" t="e">
        <f t="shared" si="2"/>
        <v>#N/A</v>
      </c>
      <c r="AD15" s="89">
        <f t="shared" si="3"/>
        <v>40000</v>
      </c>
      <c r="AE15" s="89" t="e">
        <f t="shared" si="4"/>
        <v>#N/A</v>
      </c>
      <c r="AF15" s="89">
        <f t="shared" si="5"/>
        <v>0</v>
      </c>
      <c r="AG15" s="89">
        <f t="shared" si="6"/>
        <v>0</v>
      </c>
      <c r="AH15" s="89">
        <f t="shared" si="7"/>
        <v>0</v>
      </c>
      <c r="AI15" s="89">
        <f t="shared" si="8"/>
        <v>0</v>
      </c>
      <c r="AJ15" s="89">
        <f t="shared" si="9"/>
        <v>0</v>
      </c>
      <c r="AK15" s="89">
        <f t="shared" si="10"/>
        <v>0</v>
      </c>
      <c r="AL15" s="89">
        <v>0</v>
      </c>
      <c r="AM15" s="89">
        <v>0</v>
      </c>
      <c r="AN15" s="87" t="s">
        <v>273</v>
      </c>
      <c r="AO15" s="89">
        <v>0</v>
      </c>
      <c r="AP15" s="89" t="e">
        <f t="shared" si="11"/>
        <v>#N/A</v>
      </c>
      <c r="AQ15" s="89" t="e" cm="1">
        <f t="array" ref="AQ15">_xlfn.IFS(F15="正常工资薪金",VLOOKUP(AP15,{0,0.03;36000,0.1;144000,0.2;300000,0.25;420000,0.3;660000,0.35;960000,0.45},2,1),F15="一般劳务报酬所得",IF(AP15&lt;=20000,0.2,IF(AP15&lt;=50000,0.3,0.4)),F15="全年一次性奖金收入",VLOOKUP(AP15/12,{0,0.03;3000,0.1;12000,0.2;25000,0.25;35000,0.3;55000,0.35;80000,0.45},2,1),F15="解除劳动合同一次性补偿金",VLOOKUP(AP15,{0,0.03;36000,0.1;144000,0.2;300000,0.25;420000,0.3;660000,0.35;960000,0.45},2,1))</f>
        <v>#N/A</v>
      </c>
      <c r="AR15" s="89" t="e" cm="1">
        <f t="array" ref="AR15">_xlfn.IFS(F15="正常工资薪金",VLOOKUP(AP15,{0,0;36000,2520;144000,16920;300000,31920;420000,52920;660000,85920;960000,181920},2,1),F15="一般劳务报酬所得",IF(AP15&lt;=20000,0,IF(AS&lt;=50000,2000,7000)),F15="全年一次性奖金收入",VLOOKUP(AP15/12,{0,0;3000,210;12000,1410;25000,2660;35000,4410;55000,7160;80000,15160},2,1),F15="解除劳动合同一次性补偿金",VLOOKUP(AP15,{0,0;36000,2520;144000,16920;300000,31920;420000,52920;660000,85920;960000,181920},2,1))</f>
        <v>#N/A</v>
      </c>
      <c r="AS15" s="89" t="e">
        <f t="shared" si="12"/>
        <v>#N/A</v>
      </c>
      <c r="AT15" s="89">
        <v>0</v>
      </c>
      <c r="AU15" s="89">
        <f t="shared" si="13"/>
        <v>26549.99</v>
      </c>
      <c r="AV15" s="89" t="e">
        <f t="shared" si="14"/>
        <v>#N/A</v>
      </c>
      <c r="AW15" s="87"/>
      <c r="AX15" s="90">
        <f>IFERROR(IF(F15="正常工资薪金",VLOOKUP(D15&amp;"*",个税上月累计情况!E:AL,26,0),0),0)</f>
        <v>280000</v>
      </c>
      <c r="AY15" s="90">
        <f>IFERROR(IF(F15="正常工资薪金",VLOOKUP(D15&amp;"*",个税上月累计情况!E:AL,27,0),0),0)</f>
        <v>35000</v>
      </c>
      <c r="AZ15" s="90">
        <f>IFERROR(IF(F15="正常工资薪金",VLOOKUP(D15&amp;"*",个税上月累计情况!E:AL,28,0),0),0)</f>
        <v>17150.07</v>
      </c>
      <c r="BA15" s="90">
        <f>IFERROR(IF(F15="正常工资薪金",VLOOKUP(D15&amp;"*",个税上月累计情况!E:AL,29,0),0),0)</f>
        <v>0</v>
      </c>
      <c r="BB15" s="90">
        <f>IFERROR(IF(F15="正常工资薪金",VLOOKUP(D15&amp;"*",个税上月累计情况!E:AL,30,0),0),0)</f>
        <v>10500</v>
      </c>
      <c r="BC15" s="90">
        <f>IFERROR(IF(F15="正常工资薪金",VLOOKUP(D15&amp;"*",个税上月累计情况!E:AL,31,0),0),0)</f>
        <v>0</v>
      </c>
      <c r="BD15" s="90">
        <f>IFERROR(IF(F15="正常工资薪金",VLOOKUP(D15&amp;"*",个税上月累计情况!E:AL,32,0),0),0)</f>
        <v>0</v>
      </c>
      <c r="BE15" s="90">
        <f>IFERROR(IF(F15="正常工资薪金",VLOOKUP(D15&amp;"*",个税上月累计情况!E:AL,33,0),0),0)</f>
        <v>0</v>
      </c>
      <c r="BF15" s="90">
        <f>IFERROR(IF(F15="正常工资薪金",VLOOKUP(D15&amp;"*",个税上月累计情况!E:AL,34,0),0),0)</f>
        <v>0</v>
      </c>
      <c r="BG15" s="90">
        <f>IFERROR(IF(F15="正常工资薪金",VLOOKUP(D15&amp;"*",个税上月累计情况!E:AN,35,0),0),0)</f>
        <v>0</v>
      </c>
      <c r="BH15" s="90">
        <f>IFERROR(IF(F15="正常工资薪金",VLOOKUP(D15&amp;"*",个税上月累计情况!E:AN,36,0),0),0)</f>
        <v>0</v>
      </c>
      <c r="BI15" s="90">
        <f>IFERROR(IF(F15="正常工资薪金",VLOOKUP(D15&amp;"*",个税上月累计情况!D:AW,46,0),0),0)</f>
        <v>20339.99</v>
      </c>
      <c r="BJ15" s="90">
        <f>IFERROR(IF(F15="正常工资薪金",VLOOKUP(D15&amp;"*",个税上月累计情况!D:AX,47,0),0),0)</f>
        <v>6210</v>
      </c>
      <c r="BK15" t="e">
        <f>VLOOKUP(B15,花名册!C:N,12,0)</f>
        <v>#N/A</v>
      </c>
    </row>
    <row r="16" ht="19.5" hidden="1" spans="1:63">
      <c r="A16" s="87"/>
      <c r="B16" s="87" t="s">
        <v>295</v>
      </c>
      <c r="C16" s="87" t="s">
        <v>268</v>
      </c>
      <c r="D16" s="87" t="s">
        <v>296</v>
      </c>
      <c r="E16" s="87" t="s">
        <v>270</v>
      </c>
      <c r="F16" s="87" t="s">
        <v>271</v>
      </c>
      <c r="G16" s="89" t="e" cm="1">
        <f t="array" ref="G16">_xlfn.IFS(F16="正常工资薪金",VLOOKUP(D16&amp;"*",工资表明细!D:BL,61,0),F16="一般劳务报酬所得",VLOOKUP(D16&amp;"*",工资表明细!D:BJ,59,0),F16="全年一次性奖金收入",VLOOKUP(D16&amp;"*",工资表明细!D:BI,58,0),F16="解除劳动合同一次性补偿金",VLOOKUP(D16&amp;"*",工资表明细!D:BH,57,0))</f>
        <v>#N/A</v>
      </c>
      <c r="H16" s="89">
        <f t="shared" si="0"/>
        <v>0</v>
      </c>
      <c r="I16" s="89">
        <v>0</v>
      </c>
      <c r="J16" s="89">
        <f t="shared" si="1"/>
        <v>5000</v>
      </c>
      <c r="K16" s="89" t="e">
        <f>IF(F16="正常工资薪金",VLOOKUP(D16&amp;"*",工资表明细!D:AP,39,0),0)</f>
        <v>#N/A</v>
      </c>
      <c r="L16" s="89" t="e">
        <f>IF(F16="正常工资薪金",VLOOKUP(D16&amp;"*",工资表明细!D:AQ,40,0),0)</f>
        <v>#N/A</v>
      </c>
      <c r="M16" s="89" t="e">
        <f>IF(F16="正常工资薪金",VLOOKUP(D16&amp;"*",工资表明细!D:AR,41,0),0)</f>
        <v>#N/A</v>
      </c>
      <c r="N16" s="89" t="e">
        <f>IF(F16="正常工资薪金",VLOOKUP(D16&amp;"*",工资表明细!D:AT,43,0),0)</f>
        <v>#N/A</v>
      </c>
      <c r="O16" s="89">
        <v>11</v>
      </c>
      <c r="P16" s="89">
        <v>11</v>
      </c>
      <c r="Q16" s="89">
        <v>11</v>
      </c>
      <c r="R16" s="89">
        <v>11</v>
      </c>
      <c r="S16" s="89">
        <v>11</v>
      </c>
      <c r="T16" s="89">
        <v>11</v>
      </c>
      <c r="U16" s="89">
        <v>11</v>
      </c>
      <c r="V16" s="89">
        <v>11</v>
      </c>
      <c r="W16" s="87" t="s">
        <v>272</v>
      </c>
      <c r="X16" s="89">
        <v>11</v>
      </c>
      <c r="Y16" s="87" t="s">
        <v>272</v>
      </c>
      <c r="Z16" s="87" t="s">
        <v>272</v>
      </c>
      <c r="AA16" s="87" t="s">
        <v>272</v>
      </c>
      <c r="AB16" s="89">
        <v>11</v>
      </c>
      <c r="AC16" s="89" t="e">
        <f t="shared" si="2"/>
        <v>#N/A</v>
      </c>
      <c r="AD16" s="89">
        <f t="shared" si="3"/>
        <v>40000</v>
      </c>
      <c r="AE16" s="89" t="e">
        <f t="shared" si="4"/>
        <v>#N/A</v>
      </c>
      <c r="AF16" s="89">
        <f t="shared" si="5"/>
        <v>0</v>
      </c>
      <c r="AG16" s="89">
        <f t="shared" si="6"/>
        <v>0</v>
      </c>
      <c r="AH16" s="89">
        <f t="shared" si="7"/>
        <v>0</v>
      </c>
      <c r="AI16" s="89">
        <f t="shared" si="8"/>
        <v>0</v>
      </c>
      <c r="AJ16" s="89">
        <f t="shared" si="9"/>
        <v>0</v>
      </c>
      <c r="AK16" s="89">
        <f t="shared" si="10"/>
        <v>0</v>
      </c>
      <c r="AL16" s="89">
        <v>0</v>
      </c>
      <c r="AM16" s="89">
        <v>0</v>
      </c>
      <c r="AN16" s="87" t="s">
        <v>273</v>
      </c>
      <c r="AO16" s="89">
        <v>0</v>
      </c>
      <c r="AP16" s="89" t="e">
        <f t="shared" si="11"/>
        <v>#N/A</v>
      </c>
      <c r="AQ16" s="89" t="e" cm="1">
        <f t="array" ref="AQ16">_xlfn.IFS(F16="正常工资薪金",VLOOKUP(AP16,{0,0.03;36000,0.1;144000,0.2;300000,0.25;420000,0.3;660000,0.35;960000,0.45},2,1),F16="一般劳务报酬所得",IF(AP16&lt;=20000,0.2,IF(AP16&lt;=50000,0.3,0.4)),F16="全年一次性奖金收入",VLOOKUP(AP16/12,{0,0.03;3000,0.1;12000,0.2;25000,0.25;35000,0.3;55000,0.35;80000,0.45},2,1),F16="解除劳动合同一次性补偿金",VLOOKUP(AP16,{0,0.03;36000,0.1;144000,0.2;300000,0.25;420000,0.3;660000,0.35;960000,0.45},2,1))</f>
        <v>#N/A</v>
      </c>
      <c r="AR16" s="89" t="e" cm="1">
        <f t="array" ref="AR16">_xlfn.IFS(F16="正常工资薪金",VLOOKUP(AP16,{0,0;36000,2520;144000,16920;300000,31920;420000,52920;660000,85920;960000,181920},2,1),F16="一般劳务报酬所得",IF(AP16&lt;=20000,0,IF(AS&lt;=50000,2000,7000)),F16="全年一次性奖金收入",VLOOKUP(AP16/12,{0,0;3000,210;12000,1410;25000,2660;35000,4410;55000,7160;80000,15160},2,1),F16="解除劳动合同一次性补偿金",VLOOKUP(AP16,{0,0;36000,2520;144000,16920;300000,31920;420000,52920;660000,85920;960000,181920},2,1))</f>
        <v>#N/A</v>
      </c>
      <c r="AS16" s="89" t="e">
        <f t="shared" si="12"/>
        <v>#N/A</v>
      </c>
      <c r="AT16" s="89">
        <v>0</v>
      </c>
      <c r="AU16" s="89">
        <f t="shared" si="13"/>
        <v>2110.11</v>
      </c>
      <c r="AV16" s="89" t="e">
        <f t="shared" si="14"/>
        <v>#N/A</v>
      </c>
      <c r="AW16" s="87"/>
      <c r="AX16" s="90">
        <f>IFERROR(IF(F16="正常工资薪金",VLOOKUP(D16&amp;"*",个税上月累计情况!E:AL,26,0),0),0)</f>
        <v>100605.4</v>
      </c>
      <c r="AY16" s="90">
        <f>IFERROR(IF(F16="正常工资薪金",VLOOKUP(D16&amp;"*",个税上月累计情况!E:AL,27,0),0),0)</f>
        <v>35000</v>
      </c>
      <c r="AZ16" s="90">
        <f>IFERROR(IF(F16="正常工资薪金",VLOOKUP(D16&amp;"*",个税上月累计情况!E:AL,28,0),0),0)</f>
        <v>11585.07</v>
      </c>
      <c r="BA16" s="90">
        <f>IFERROR(IF(F16="正常工资薪金",VLOOKUP(D16&amp;"*",个税上月累计情况!E:AL,29,0),0),0)</f>
        <v>0</v>
      </c>
      <c r="BB16" s="90">
        <f>IFERROR(IF(F16="正常工资薪金",VLOOKUP(D16&amp;"*",个税上月累计情况!E:AL,30,0),0),0)</f>
        <v>0</v>
      </c>
      <c r="BC16" s="90">
        <f>IFERROR(IF(F16="正常工资薪金",VLOOKUP(D16&amp;"*",个税上月累计情况!E:AL,31,0),0),0)</f>
        <v>0</v>
      </c>
      <c r="BD16" s="90">
        <f>IFERROR(IF(F16="正常工资薪金",VLOOKUP(D16&amp;"*",个税上月累计情况!E:AL,32,0),0),0)</f>
        <v>10500</v>
      </c>
      <c r="BE16" s="90">
        <f>IFERROR(IF(F16="正常工资薪金",VLOOKUP(D16&amp;"*",个税上月累计情况!E:AL,33,0),0),0)</f>
        <v>0</v>
      </c>
      <c r="BF16" s="90">
        <f>IFERROR(IF(F16="正常工资薪金",VLOOKUP(D16&amp;"*",个税上月累计情况!E:AL,34,0),0),0)</f>
        <v>0</v>
      </c>
      <c r="BG16" s="90">
        <f>IFERROR(IF(F16="正常工资薪金",VLOOKUP(D16&amp;"*",个税上月累计情况!E:AN,35,0),0),0)</f>
        <v>0</v>
      </c>
      <c r="BH16" s="90">
        <f>IFERROR(IF(F16="正常工资薪金",VLOOKUP(D16&amp;"*",个税上月累计情况!E:AN,36,0),0),0)</f>
        <v>0</v>
      </c>
      <c r="BI16" s="90">
        <f>IFERROR(IF(F16="正常工资薪金",VLOOKUP(D16&amp;"*",个税上月累计情况!D:AW,46,0),0),0)</f>
        <v>2110.11</v>
      </c>
      <c r="BJ16" s="90">
        <f>IFERROR(IF(F16="正常工资薪金",VLOOKUP(D16&amp;"*",个税上月累计情况!D:AX,47,0),0),0)</f>
        <v>0</v>
      </c>
      <c r="BK16" t="e">
        <f>VLOOKUP(B16,花名册!C:N,12,0)</f>
        <v>#N/A</v>
      </c>
    </row>
    <row r="17" ht="19.5" hidden="1" spans="1:63">
      <c r="A17" s="87"/>
      <c r="B17" s="87" t="s">
        <v>297</v>
      </c>
      <c r="C17" s="87" t="s">
        <v>268</v>
      </c>
      <c r="D17" s="87" t="s">
        <v>298</v>
      </c>
      <c r="E17" s="87" t="s">
        <v>270</v>
      </c>
      <c r="F17" s="87" t="s">
        <v>271</v>
      </c>
      <c r="G17" s="89" t="e" cm="1">
        <f t="array" ref="G17">_xlfn.IFS(F17="正常工资薪金",VLOOKUP(D17&amp;"*",工资表明细!D:BL,61,0),F17="一般劳务报酬所得",VLOOKUP(D17&amp;"*",工资表明细!D:BJ,59,0),F17="全年一次性奖金收入",VLOOKUP(D17&amp;"*",工资表明细!D:BI,58,0),F17="解除劳动合同一次性补偿金",VLOOKUP(D17&amp;"*",工资表明细!D:BH,57,0))</f>
        <v>#N/A</v>
      </c>
      <c r="H17" s="89">
        <f t="shared" si="0"/>
        <v>0</v>
      </c>
      <c r="I17" s="89">
        <v>0</v>
      </c>
      <c r="J17" s="89">
        <f t="shared" si="1"/>
        <v>5000</v>
      </c>
      <c r="K17" s="89" t="e">
        <f>IF(F17="正常工资薪金",VLOOKUP(D17&amp;"*",工资表明细!D:AP,39,0),0)</f>
        <v>#N/A</v>
      </c>
      <c r="L17" s="89" t="e">
        <f>IF(F17="正常工资薪金",VLOOKUP(D17&amp;"*",工资表明细!D:AQ,40,0),0)</f>
        <v>#N/A</v>
      </c>
      <c r="M17" s="89" t="e">
        <f>IF(F17="正常工资薪金",VLOOKUP(D17&amp;"*",工资表明细!D:AR,41,0),0)</f>
        <v>#N/A</v>
      </c>
      <c r="N17" s="89" t="e">
        <f>IF(F17="正常工资薪金",VLOOKUP(D17&amp;"*",工资表明细!D:AT,43,0),0)</f>
        <v>#N/A</v>
      </c>
      <c r="O17" s="89">
        <v>12</v>
      </c>
      <c r="P17" s="89">
        <v>12</v>
      </c>
      <c r="Q17" s="89">
        <v>12</v>
      </c>
      <c r="R17" s="89">
        <v>12</v>
      </c>
      <c r="S17" s="89">
        <v>12</v>
      </c>
      <c r="T17" s="89">
        <v>12</v>
      </c>
      <c r="U17" s="89">
        <v>12</v>
      </c>
      <c r="V17" s="89">
        <v>12</v>
      </c>
      <c r="W17" s="87" t="s">
        <v>272</v>
      </c>
      <c r="X17" s="89">
        <v>12</v>
      </c>
      <c r="Y17" s="87" t="s">
        <v>272</v>
      </c>
      <c r="Z17" s="87" t="s">
        <v>272</v>
      </c>
      <c r="AA17" s="87" t="s">
        <v>272</v>
      </c>
      <c r="AB17" s="89">
        <v>12</v>
      </c>
      <c r="AC17" s="89" t="e">
        <f t="shared" si="2"/>
        <v>#N/A</v>
      </c>
      <c r="AD17" s="89">
        <f t="shared" si="3"/>
        <v>40000</v>
      </c>
      <c r="AE17" s="89" t="e">
        <f t="shared" si="4"/>
        <v>#N/A</v>
      </c>
      <c r="AF17" s="89">
        <f t="shared" si="5"/>
        <v>0</v>
      </c>
      <c r="AG17" s="89">
        <f t="shared" si="6"/>
        <v>0</v>
      </c>
      <c r="AH17" s="89">
        <f t="shared" si="7"/>
        <v>0</v>
      </c>
      <c r="AI17" s="89">
        <f t="shared" si="8"/>
        <v>0</v>
      </c>
      <c r="AJ17" s="89">
        <f t="shared" si="9"/>
        <v>0</v>
      </c>
      <c r="AK17" s="89">
        <f t="shared" si="10"/>
        <v>0</v>
      </c>
      <c r="AL17" s="89">
        <v>0</v>
      </c>
      <c r="AM17" s="89">
        <v>0</v>
      </c>
      <c r="AN17" s="87" t="s">
        <v>273</v>
      </c>
      <c r="AO17" s="89">
        <v>0</v>
      </c>
      <c r="AP17" s="89" t="e">
        <f t="shared" si="11"/>
        <v>#N/A</v>
      </c>
      <c r="AQ17" s="89" t="e" cm="1">
        <f t="array" ref="AQ17">_xlfn.IFS(F17="正常工资薪金",VLOOKUP(AP17,{0,0.03;36000,0.1;144000,0.2;300000,0.25;420000,0.3;660000,0.35;960000,0.45},2,1),F17="一般劳务报酬所得",IF(AP17&lt;=20000,0.2,IF(AP17&lt;=50000,0.3,0.4)),F17="全年一次性奖金收入",VLOOKUP(AP17/12,{0,0.03;3000,0.1;12000,0.2;25000,0.25;35000,0.3;55000,0.35;80000,0.45},2,1),F17="解除劳动合同一次性补偿金",VLOOKUP(AP17,{0,0.03;36000,0.1;144000,0.2;300000,0.25;420000,0.3;660000,0.35;960000,0.45},2,1))</f>
        <v>#N/A</v>
      </c>
      <c r="AR17" s="89" t="e" cm="1">
        <f t="array" ref="AR17">_xlfn.IFS(F17="正常工资薪金",VLOOKUP(AP17,{0,0;36000,2520;144000,16920;300000,31920;420000,52920;660000,85920;960000,181920},2,1),F17="一般劳务报酬所得",IF(AP17&lt;=20000,0,IF(AS&lt;=50000,2000,7000)),F17="全年一次性奖金收入",VLOOKUP(AP17/12,{0,0;3000,210;12000,1410;25000,2660;35000,4410;55000,7160;80000,15160},2,1),F17="解除劳动合同一次性补偿金",VLOOKUP(AP17,{0,0;36000,2520;144000,16920;300000,31920;420000,52920;660000,85920;960000,181920},2,1))</f>
        <v>#N/A</v>
      </c>
      <c r="AS17" s="89" t="e">
        <f t="shared" si="12"/>
        <v>#N/A</v>
      </c>
      <c r="AT17" s="89">
        <v>0</v>
      </c>
      <c r="AU17" s="89">
        <f t="shared" si="13"/>
        <v>2375.5</v>
      </c>
      <c r="AV17" s="89" t="e">
        <f t="shared" si="14"/>
        <v>#N/A</v>
      </c>
      <c r="AW17" s="87"/>
      <c r="AX17" s="90">
        <f>IFERROR(IF(F17="正常工资薪金",VLOOKUP(D17&amp;"*",个税上月累计情况!E:AL,26,0),0),0)</f>
        <v>95190.02</v>
      </c>
      <c r="AY17" s="90">
        <f>IFERROR(IF(F17="正常工资薪金",VLOOKUP(D17&amp;"*",个税上月累计情况!E:AL,27,0),0),0)</f>
        <v>35000</v>
      </c>
      <c r="AZ17" s="90">
        <f>IFERROR(IF(F17="正常工资薪金",VLOOKUP(D17&amp;"*",个税上月累计情况!E:AL,28,0),0),0)</f>
        <v>11235.07</v>
      </c>
      <c r="BA17" s="90">
        <f>IFERROR(IF(F17="正常工资薪金",VLOOKUP(D17&amp;"*",个税上月累计情况!E:AL,29,0),0),0)</f>
        <v>0</v>
      </c>
      <c r="BB17" s="90">
        <f>IFERROR(IF(F17="正常工资薪金",VLOOKUP(D17&amp;"*",个税上月累计情况!E:AL,30,0),0),0)</f>
        <v>0</v>
      </c>
      <c r="BC17" s="90">
        <f>IFERROR(IF(F17="正常工资薪金",VLOOKUP(D17&amp;"*",个税上月累计情况!E:AL,31,0),0),0)</f>
        <v>0</v>
      </c>
      <c r="BD17" s="90">
        <f>IFERROR(IF(F17="正常工资薪金",VLOOKUP(D17&amp;"*",个税上月累计情况!E:AL,32,0),0),0)</f>
        <v>0</v>
      </c>
      <c r="BE17" s="90">
        <f>IFERROR(IF(F17="正常工资薪金",VLOOKUP(D17&amp;"*",个税上月累计情况!E:AL,33,0),0),0)</f>
        <v>0</v>
      </c>
      <c r="BF17" s="90">
        <f>IFERROR(IF(F17="正常工资薪金",VLOOKUP(D17&amp;"*",个税上月累计情况!E:AL,34,0),0),0)</f>
        <v>0</v>
      </c>
      <c r="BG17" s="90">
        <f>IFERROR(IF(F17="正常工资薪金",VLOOKUP(D17&amp;"*",个税上月累计情况!E:AN,35,0),0),0)</f>
        <v>0</v>
      </c>
      <c r="BH17" s="90">
        <f>IFERROR(IF(F17="正常工资薪金",VLOOKUP(D17&amp;"*",个税上月累计情况!E:AN,36,0),0),0)</f>
        <v>0</v>
      </c>
      <c r="BI17" s="90">
        <f>IFERROR(IF(F17="正常工资薪金",VLOOKUP(D17&amp;"*",个税上月累计情况!D:AW,46,0),0),0)</f>
        <v>1670.99</v>
      </c>
      <c r="BJ17" s="90">
        <f>IFERROR(IF(F17="正常工资薪金",VLOOKUP(D17&amp;"*",个税上月累计情况!D:AX,47,0),0),0)</f>
        <v>704.51</v>
      </c>
      <c r="BK17" t="e">
        <f>VLOOKUP(B17,花名册!C:N,12,0)</f>
        <v>#N/A</v>
      </c>
    </row>
    <row r="18" ht="19.5" hidden="1" spans="1:63">
      <c r="A18" s="87"/>
      <c r="B18" s="87" t="s">
        <v>299</v>
      </c>
      <c r="C18" s="87" t="s">
        <v>268</v>
      </c>
      <c r="D18" s="87" t="s">
        <v>300</v>
      </c>
      <c r="E18" s="87" t="s">
        <v>270</v>
      </c>
      <c r="F18" s="87" t="s">
        <v>271</v>
      </c>
      <c r="G18" s="89" t="e" cm="1">
        <f t="array" ref="G18">_xlfn.IFS(F18="正常工资薪金",VLOOKUP(D18&amp;"*",工资表明细!D:BL,61,0),F18="一般劳务报酬所得",VLOOKUP(D18&amp;"*",工资表明细!D:BJ,59,0),F18="全年一次性奖金收入",VLOOKUP(D18&amp;"*",工资表明细!D:BI,58,0),F18="解除劳动合同一次性补偿金",VLOOKUP(D18&amp;"*",工资表明细!D:BH,57,0))</f>
        <v>#N/A</v>
      </c>
      <c r="H18" s="89">
        <f t="shared" si="0"/>
        <v>0</v>
      </c>
      <c r="I18" s="89">
        <v>0</v>
      </c>
      <c r="J18" s="89">
        <f t="shared" si="1"/>
        <v>5000</v>
      </c>
      <c r="K18" s="89" t="e">
        <f>IF(F18="正常工资薪金",VLOOKUP(D18&amp;"*",工资表明细!D:AP,39,0),0)</f>
        <v>#N/A</v>
      </c>
      <c r="L18" s="89" t="e">
        <f>IF(F18="正常工资薪金",VLOOKUP(D18&amp;"*",工资表明细!D:AQ,40,0),0)</f>
        <v>#N/A</v>
      </c>
      <c r="M18" s="89" t="e">
        <f>IF(F18="正常工资薪金",VLOOKUP(D18&amp;"*",工资表明细!D:AR,41,0),0)</f>
        <v>#N/A</v>
      </c>
      <c r="N18" s="89" t="e">
        <f>IF(F18="正常工资薪金",VLOOKUP(D18&amp;"*",工资表明细!D:AT,43,0),0)</f>
        <v>#N/A</v>
      </c>
      <c r="O18" s="89">
        <v>13</v>
      </c>
      <c r="P18" s="89">
        <v>13</v>
      </c>
      <c r="Q18" s="89">
        <v>13</v>
      </c>
      <c r="R18" s="89">
        <v>13</v>
      </c>
      <c r="S18" s="89">
        <v>13</v>
      </c>
      <c r="T18" s="89">
        <v>13</v>
      </c>
      <c r="U18" s="89">
        <v>13</v>
      </c>
      <c r="V18" s="89">
        <v>13</v>
      </c>
      <c r="W18" s="87" t="s">
        <v>272</v>
      </c>
      <c r="X18" s="89">
        <v>13</v>
      </c>
      <c r="Y18" s="87" t="s">
        <v>272</v>
      </c>
      <c r="Z18" s="87" t="s">
        <v>272</v>
      </c>
      <c r="AA18" s="87" t="s">
        <v>272</v>
      </c>
      <c r="AB18" s="89">
        <v>13</v>
      </c>
      <c r="AC18" s="89" t="e">
        <f t="shared" si="2"/>
        <v>#N/A</v>
      </c>
      <c r="AD18" s="89">
        <f t="shared" si="3"/>
        <v>40000</v>
      </c>
      <c r="AE18" s="89" t="e">
        <f t="shared" si="4"/>
        <v>#N/A</v>
      </c>
      <c r="AF18" s="89">
        <f t="shared" si="5"/>
        <v>0</v>
      </c>
      <c r="AG18" s="89">
        <f t="shared" si="6"/>
        <v>0</v>
      </c>
      <c r="AH18" s="89">
        <f t="shared" si="7"/>
        <v>0</v>
      </c>
      <c r="AI18" s="89">
        <f t="shared" si="8"/>
        <v>0</v>
      </c>
      <c r="AJ18" s="89">
        <f t="shared" si="9"/>
        <v>0</v>
      </c>
      <c r="AK18" s="89">
        <f t="shared" si="10"/>
        <v>0</v>
      </c>
      <c r="AL18" s="89">
        <v>0</v>
      </c>
      <c r="AM18" s="89">
        <v>0</v>
      </c>
      <c r="AN18" s="87" t="s">
        <v>273</v>
      </c>
      <c r="AO18" s="89">
        <v>0</v>
      </c>
      <c r="AP18" s="89" t="e">
        <f t="shared" si="11"/>
        <v>#N/A</v>
      </c>
      <c r="AQ18" s="89" t="e" cm="1">
        <f t="array" ref="AQ18">_xlfn.IFS(F18="正常工资薪金",VLOOKUP(AP18,{0,0.03;36000,0.1;144000,0.2;300000,0.25;420000,0.3;660000,0.35;960000,0.45},2,1),F18="一般劳务报酬所得",IF(AP18&lt;=20000,0.2,IF(AP18&lt;=50000,0.3,0.4)),F18="全年一次性奖金收入",VLOOKUP(AP18/12,{0,0.03;3000,0.1;12000,0.2;25000,0.25;35000,0.3;55000,0.35;80000,0.45},2,1),F18="解除劳动合同一次性补偿金",VLOOKUP(AP18,{0,0.03;36000,0.1;144000,0.2;300000,0.25;420000,0.3;660000,0.35;960000,0.45},2,1))</f>
        <v>#N/A</v>
      </c>
      <c r="AR18" s="89" t="e" cm="1">
        <f t="array" ref="AR18">_xlfn.IFS(F18="正常工资薪金",VLOOKUP(AP18,{0,0;36000,2520;144000,16920;300000,31920;420000,52920;660000,85920;960000,181920},2,1),F18="一般劳务报酬所得",IF(AP18&lt;=20000,0,IF(AS&lt;=50000,2000,7000)),F18="全年一次性奖金收入",VLOOKUP(AP18/12,{0,0;3000,210;12000,1410;25000,2660;35000,4410;55000,7160;80000,15160},2,1),F18="解除劳动合同一次性补偿金",VLOOKUP(AP18,{0,0;36000,2520;144000,16920;300000,31920;420000,52920;660000,85920;960000,181920},2,1))</f>
        <v>#N/A</v>
      </c>
      <c r="AS18" s="89" t="e">
        <f t="shared" si="12"/>
        <v>#N/A</v>
      </c>
      <c r="AT18" s="89">
        <v>0</v>
      </c>
      <c r="AU18" s="89">
        <f t="shared" si="13"/>
        <v>3925</v>
      </c>
      <c r="AV18" s="89" t="e">
        <f t="shared" si="14"/>
        <v>#N/A</v>
      </c>
      <c r="AW18" s="87"/>
      <c r="AX18" s="90">
        <f>IFERROR(IF(F18="正常工资薪金",VLOOKUP(D18&amp;"*",个税上月累计情况!E:AL,26,0),0),0)</f>
        <v>111735.06</v>
      </c>
      <c r="AY18" s="90">
        <f>IFERROR(IF(F18="正常工资薪金",VLOOKUP(D18&amp;"*",个税上月累计情况!E:AL,27,0),0),0)</f>
        <v>35000</v>
      </c>
      <c r="AZ18" s="90">
        <f>IFERROR(IF(F18="正常工资薪金",VLOOKUP(D18&amp;"*",个税上月累计情况!E:AL,28,0),0),0)</f>
        <v>12285.07</v>
      </c>
      <c r="BA18" s="90">
        <f>IFERROR(IF(F18="正常工资薪金",VLOOKUP(D18&amp;"*",个税上月累计情况!E:AL,29,0),0),0)</f>
        <v>0</v>
      </c>
      <c r="BB18" s="90">
        <f>IFERROR(IF(F18="正常工资薪金",VLOOKUP(D18&amp;"*",个税上月累计情况!E:AL,30,0),0),0)</f>
        <v>0</v>
      </c>
      <c r="BC18" s="90">
        <f>IFERROR(IF(F18="正常工资薪金",VLOOKUP(D18&amp;"*",个税上月累计情况!E:AL,31,0),0),0)</f>
        <v>0</v>
      </c>
      <c r="BD18" s="90">
        <f>IFERROR(IF(F18="正常工资薪金",VLOOKUP(D18&amp;"*",个税上月累计情况!E:AL,32,0),0),0)</f>
        <v>0</v>
      </c>
      <c r="BE18" s="90">
        <f>IFERROR(IF(F18="正常工资薪金",VLOOKUP(D18&amp;"*",个税上月累计情况!E:AL,33,0),0),0)</f>
        <v>0</v>
      </c>
      <c r="BF18" s="90">
        <f>IFERROR(IF(F18="正常工资薪金",VLOOKUP(D18&amp;"*",个税上月累计情况!E:AL,34,0),0),0)</f>
        <v>0</v>
      </c>
      <c r="BG18" s="90">
        <f>IFERROR(IF(F18="正常工资薪金",VLOOKUP(D18&amp;"*",个税上月累计情况!E:AN,35,0),0),0)</f>
        <v>0</v>
      </c>
      <c r="BH18" s="90">
        <f>IFERROR(IF(F18="正常工资薪金",VLOOKUP(D18&amp;"*",个税上月累计情况!E:AN,36,0),0),0)</f>
        <v>0</v>
      </c>
      <c r="BI18" s="90">
        <f>IFERROR(IF(F18="正常工资薪金",VLOOKUP(D18&amp;"*",个税上月累计情况!D:AW,46,0),0),0)</f>
        <v>3000.5</v>
      </c>
      <c r="BJ18" s="90">
        <f>IFERROR(IF(F18="正常工资薪金",VLOOKUP(D18&amp;"*",个税上月累计情况!D:AX,47,0),0),0)</f>
        <v>924.5</v>
      </c>
      <c r="BK18" t="e">
        <f>VLOOKUP(B18,花名册!C:N,12,0)</f>
        <v>#N/A</v>
      </c>
    </row>
    <row r="19" ht="19.5" hidden="1" spans="1:63">
      <c r="A19" s="87"/>
      <c r="B19" s="87" t="s">
        <v>301</v>
      </c>
      <c r="C19" s="87" t="s">
        <v>268</v>
      </c>
      <c r="D19" s="87" t="s">
        <v>302</v>
      </c>
      <c r="E19" s="87" t="s">
        <v>270</v>
      </c>
      <c r="F19" s="87" t="s">
        <v>271</v>
      </c>
      <c r="G19" s="89" t="e" cm="1">
        <f t="array" ref="G19">_xlfn.IFS(F19="正常工资薪金",VLOOKUP(D19&amp;"*",工资表明细!D:BL,61,0),F19="一般劳务报酬所得",VLOOKUP(D19&amp;"*",工资表明细!D:BJ,59,0),F19="全年一次性奖金收入",VLOOKUP(D19&amp;"*",工资表明细!D:BI,58,0),F19="解除劳动合同一次性补偿金",VLOOKUP(D19&amp;"*",工资表明细!D:BH,57,0))</f>
        <v>#N/A</v>
      </c>
      <c r="H19" s="89">
        <f t="shared" si="0"/>
        <v>0</v>
      </c>
      <c r="I19" s="89">
        <v>0</v>
      </c>
      <c r="J19" s="89">
        <f t="shared" si="1"/>
        <v>5000</v>
      </c>
      <c r="K19" s="89" t="e">
        <f>IF(F19="正常工资薪金",VLOOKUP(D19&amp;"*",工资表明细!D:AP,39,0),0)</f>
        <v>#N/A</v>
      </c>
      <c r="L19" s="89" t="e">
        <f>IF(F19="正常工资薪金",VLOOKUP(D19&amp;"*",工资表明细!D:AQ,40,0),0)</f>
        <v>#N/A</v>
      </c>
      <c r="M19" s="89" t="e">
        <f>IF(F19="正常工资薪金",VLOOKUP(D19&amp;"*",工资表明细!D:AR,41,0),0)</f>
        <v>#N/A</v>
      </c>
      <c r="N19" s="89" t="e">
        <f>IF(F19="正常工资薪金",VLOOKUP(D19&amp;"*",工资表明细!D:AT,43,0),0)</f>
        <v>#N/A</v>
      </c>
      <c r="O19" s="89">
        <v>14</v>
      </c>
      <c r="P19" s="89">
        <v>14</v>
      </c>
      <c r="Q19" s="89">
        <v>14</v>
      </c>
      <c r="R19" s="89">
        <v>14</v>
      </c>
      <c r="S19" s="89">
        <v>14</v>
      </c>
      <c r="T19" s="89">
        <v>14</v>
      </c>
      <c r="U19" s="89">
        <v>14</v>
      </c>
      <c r="V19" s="89">
        <v>14</v>
      </c>
      <c r="W19" s="87" t="s">
        <v>272</v>
      </c>
      <c r="X19" s="89">
        <v>14</v>
      </c>
      <c r="Y19" s="87" t="s">
        <v>272</v>
      </c>
      <c r="Z19" s="87" t="s">
        <v>272</v>
      </c>
      <c r="AA19" s="87" t="s">
        <v>272</v>
      </c>
      <c r="AB19" s="89">
        <v>14</v>
      </c>
      <c r="AC19" s="89" t="e">
        <f t="shared" si="2"/>
        <v>#N/A</v>
      </c>
      <c r="AD19" s="89">
        <f t="shared" si="3"/>
        <v>40000</v>
      </c>
      <c r="AE19" s="89" t="e">
        <f t="shared" si="4"/>
        <v>#N/A</v>
      </c>
      <c r="AF19" s="89">
        <f t="shared" si="5"/>
        <v>0</v>
      </c>
      <c r="AG19" s="89">
        <f t="shared" si="6"/>
        <v>0</v>
      </c>
      <c r="AH19" s="89">
        <f t="shared" si="7"/>
        <v>0</v>
      </c>
      <c r="AI19" s="89">
        <f t="shared" si="8"/>
        <v>0</v>
      </c>
      <c r="AJ19" s="89">
        <f t="shared" si="9"/>
        <v>0</v>
      </c>
      <c r="AK19" s="89">
        <f t="shared" si="10"/>
        <v>0</v>
      </c>
      <c r="AL19" s="89">
        <v>0</v>
      </c>
      <c r="AM19" s="89">
        <v>0</v>
      </c>
      <c r="AN19" s="87" t="s">
        <v>273</v>
      </c>
      <c r="AO19" s="89">
        <v>0</v>
      </c>
      <c r="AP19" s="89" t="e">
        <f t="shared" si="11"/>
        <v>#N/A</v>
      </c>
      <c r="AQ19" s="89" t="e" cm="1">
        <f t="array" ref="AQ19">_xlfn.IFS(F19="正常工资薪金",VLOOKUP(AP19,{0,0.03;36000,0.1;144000,0.2;300000,0.25;420000,0.3;660000,0.35;960000,0.45},2,1),F19="一般劳务报酬所得",IF(AP19&lt;=20000,0.2,IF(AP19&lt;=50000,0.3,0.4)),F19="全年一次性奖金收入",VLOOKUP(AP19/12,{0,0.03;3000,0.1;12000,0.2;25000,0.25;35000,0.3;55000,0.35;80000,0.45},2,1),F19="解除劳动合同一次性补偿金",VLOOKUP(AP19,{0,0.03;36000,0.1;144000,0.2;300000,0.25;420000,0.3;660000,0.35;960000,0.45},2,1))</f>
        <v>#N/A</v>
      </c>
      <c r="AR19" s="89" t="e" cm="1">
        <f t="array" ref="AR19">_xlfn.IFS(F19="正常工资薪金",VLOOKUP(AP19,{0,0;36000,2520;144000,16920;300000,31920;420000,52920;660000,85920;960000,181920},2,1),F19="一般劳务报酬所得",IF(AP19&lt;=20000,0,IF(AS&lt;=50000,2000,7000)),F19="全年一次性奖金收入",VLOOKUP(AP19/12,{0,0;3000,210;12000,1410;25000,2660;35000,4410;55000,7160;80000,15160},2,1),F19="解除劳动合同一次性补偿金",VLOOKUP(AP19,{0,0;36000,2520;144000,16920;300000,31920;420000,52920;660000,85920;960000,181920},2,1))</f>
        <v>#N/A</v>
      </c>
      <c r="AS19" s="89" t="e">
        <f t="shared" si="12"/>
        <v>#N/A</v>
      </c>
      <c r="AT19" s="89">
        <v>0</v>
      </c>
      <c r="AU19" s="89">
        <f t="shared" si="13"/>
        <v>1018.32</v>
      </c>
      <c r="AV19" s="89" t="e">
        <f t="shared" si="14"/>
        <v>#N/A</v>
      </c>
      <c r="AW19" s="87"/>
      <c r="AX19" s="90">
        <f>IFERROR(IF(F19="正常工资薪金",VLOOKUP(D19&amp;"*",个税上月累计情况!E:AL,26,0),0),0)</f>
        <v>78400</v>
      </c>
      <c r="AY19" s="90">
        <f>IFERROR(IF(F19="正常工资薪金",VLOOKUP(D19&amp;"*",个税上月累计情况!E:AL,27,0),0),0)</f>
        <v>35000</v>
      </c>
      <c r="AZ19" s="90">
        <f>IFERROR(IF(F19="正常工资薪金",VLOOKUP(D19&amp;"*",个税上月累计情况!E:AL,28,0),0),0)</f>
        <v>9456.06</v>
      </c>
      <c r="BA19" s="90">
        <f>IFERROR(IF(F19="正常工资薪金",VLOOKUP(D19&amp;"*",个税上月累计情况!E:AL,29,0),0),0)</f>
        <v>0</v>
      </c>
      <c r="BB19" s="90">
        <f>IFERROR(IF(F19="正常工资薪金",VLOOKUP(D19&amp;"*",个税上月累计情况!E:AL,30,0),0),0)</f>
        <v>0</v>
      </c>
      <c r="BC19" s="90">
        <f>IFERROR(IF(F19="正常工资薪金",VLOOKUP(D19&amp;"*",个税上月累计情况!E:AL,31,0),0),0)</f>
        <v>0</v>
      </c>
      <c r="BD19" s="90">
        <f>IFERROR(IF(F19="正常工资薪金",VLOOKUP(D19&amp;"*",个税上月累计情况!E:AL,32,0),0),0)</f>
        <v>0</v>
      </c>
      <c r="BE19" s="90">
        <f>IFERROR(IF(F19="正常工资薪金",VLOOKUP(D19&amp;"*",个税上月累计情况!E:AL,33,0),0),0)</f>
        <v>0</v>
      </c>
      <c r="BF19" s="90">
        <f>IFERROR(IF(F19="正常工资薪金",VLOOKUP(D19&amp;"*",个税上月累计情况!E:AL,34,0),0),0)</f>
        <v>0</v>
      </c>
      <c r="BG19" s="90">
        <f>IFERROR(IF(F19="正常工资薪金",VLOOKUP(D19&amp;"*",个税上月累计情况!E:AN,35,0),0),0)</f>
        <v>0</v>
      </c>
      <c r="BH19" s="90">
        <f>IFERROR(IF(F19="正常工资薪金",VLOOKUP(D19&amp;"*",个税上月累计情况!E:AN,36,0),0),0)</f>
        <v>0</v>
      </c>
      <c r="BI19" s="90">
        <f>IFERROR(IF(F19="正常工资薪金",VLOOKUP(D19&amp;"*",个税上月累计情况!D:AW,46,0),0),0)</f>
        <v>868.84</v>
      </c>
      <c r="BJ19" s="90">
        <f>IFERROR(IF(F19="正常工资薪金",VLOOKUP(D19&amp;"*",个税上月累计情况!D:AX,47,0),0),0)</f>
        <v>149.48</v>
      </c>
      <c r="BK19" t="e">
        <f>VLOOKUP(B19,花名册!C:N,12,0)</f>
        <v>#N/A</v>
      </c>
    </row>
    <row r="20" ht="19.5" hidden="1" spans="1:63">
      <c r="A20" s="87"/>
      <c r="B20" s="87" t="s">
        <v>303</v>
      </c>
      <c r="C20" s="87" t="s">
        <v>268</v>
      </c>
      <c r="D20" s="87" t="s">
        <v>304</v>
      </c>
      <c r="E20" s="87" t="s">
        <v>270</v>
      </c>
      <c r="F20" s="87" t="s">
        <v>271</v>
      </c>
      <c r="G20" s="89" t="e" cm="1">
        <f t="array" ref="G20">_xlfn.IFS(F20="正常工资薪金",VLOOKUP(D20&amp;"*",工资表明细!D:BL,61,0),F20="一般劳务报酬所得",VLOOKUP(D20&amp;"*",工资表明细!D:BJ,59,0),F20="全年一次性奖金收入",VLOOKUP(D20&amp;"*",工资表明细!D:BI,58,0),F20="解除劳动合同一次性补偿金",VLOOKUP(D20&amp;"*",工资表明细!D:BH,57,0))</f>
        <v>#N/A</v>
      </c>
      <c r="H20" s="89">
        <f t="shared" si="0"/>
        <v>0</v>
      </c>
      <c r="I20" s="89">
        <v>0</v>
      </c>
      <c r="J20" s="89">
        <f t="shared" si="1"/>
        <v>5000</v>
      </c>
      <c r="K20" s="89" t="e">
        <f>IF(F20="正常工资薪金",VLOOKUP(D20&amp;"*",工资表明细!D:AP,39,0),0)</f>
        <v>#N/A</v>
      </c>
      <c r="L20" s="89" t="e">
        <f>IF(F20="正常工资薪金",VLOOKUP(D20&amp;"*",工资表明细!D:AQ,40,0),0)</f>
        <v>#N/A</v>
      </c>
      <c r="M20" s="89" t="e">
        <f>IF(F20="正常工资薪金",VLOOKUP(D20&amp;"*",工资表明细!D:AR,41,0),0)</f>
        <v>#N/A</v>
      </c>
      <c r="N20" s="89" t="e">
        <f>IF(F20="正常工资薪金",VLOOKUP(D20&amp;"*",工资表明细!D:AT,43,0),0)</f>
        <v>#N/A</v>
      </c>
      <c r="O20" s="89">
        <v>15</v>
      </c>
      <c r="P20" s="89">
        <v>15</v>
      </c>
      <c r="Q20" s="89">
        <v>15</v>
      </c>
      <c r="R20" s="89">
        <v>15</v>
      </c>
      <c r="S20" s="89">
        <v>15</v>
      </c>
      <c r="T20" s="89">
        <v>15</v>
      </c>
      <c r="U20" s="89">
        <v>15</v>
      </c>
      <c r="V20" s="89">
        <v>15</v>
      </c>
      <c r="W20" s="87" t="s">
        <v>272</v>
      </c>
      <c r="X20" s="89">
        <v>15</v>
      </c>
      <c r="Y20" s="87" t="s">
        <v>272</v>
      </c>
      <c r="Z20" s="87" t="s">
        <v>272</v>
      </c>
      <c r="AA20" s="87" t="s">
        <v>272</v>
      </c>
      <c r="AB20" s="89">
        <v>15</v>
      </c>
      <c r="AC20" s="89" t="e">
        <f t="shared" si="2"/>
        <v>#N/A</v>
      </c>
      <c r="AD20" s="89">
        <f t="shared" si="3"/>
        <v>40000</v>
      </c>
      <c r="AE20" s="89" t="e">
        <f t="shared" si="4"/>
        <v>#N/A</v>
      </c>
      <c r="AF20" s="89">
        <f t="shared" si="5"/>
        <v>0</v>
      </c>
      <c r="AG20" s="89">
        <f t="shared" si="6"/>
        <v>0</v>
      </c>
      <c r="AH20" s="89">
        <f t="shared" si="7"/>
        <v>0</v>
      </c>
      <c r="AI20" s="89">
        <f t="shared" si="8"/>
        <v>0</v>
      </c>
      <c r="AJ20" s="89">
        <f t="shared" si="9"/>
        <v>0</v>
      </c>
      <c r="AK20" s="89">
        <f t="shared" si="10"/>
        <v>0</v>
      </c>
      <c r="AL20" s="89">
        <v>0</v>
      </c>
      <c r="AM20" s="89">
        <v>0</v>
      </c>
      <c r="AN20" s="87" t="s">
        <v>273</v>
      </c>
      <c r="AO20" s="89">
        <v>0</v>
      </c>
      <c r="AP20" s="89" t="e">
        <f t="shared" si="11"/>
        <v>#N/A</v>
      </c>
      <c r="AQ20" s="89" t="e" cm="1">
        <f t="array" ref="AQ20">_xlfn.IFS(F20="正常工资薪金",VLOOKUP(AP20,{0,0.03;36000,0.1;144000,0.2;300000,0.25;420000,0.3;660000,0.35;960000,0.45},2,1),F20="一般劳务报酬所得",IF(AP20&lt;=20000,0.2,IF(AP20&lt;=50000,0.3,0.4)),F20="全年一次性奖金收入",VLOOKUP(AP20/12,{0,0.03;3000,0.1;12000,0.2;25000,0.25;35000,0.3;55000,0.35;80000,0.45},2,1),F20="解除劳动合同一次性补偿金",VLOOKUP(AP20,{0,0.03;36000,0.1;144000,0.2;300000,0.25;420000,0.3;660000,0.35;960000,0.45},2,1))</f>
        <v>#N/A</v>
      </c>
      <c r="AR20" s="89" t="e" cm="1">
        <f t="array" ref="AR20">_xlfn.IFS(F20="正常工资薪金",VLOOKUP(AP20,{0,0;36000,2520;144000,16920;300000,31920;420000,52920;660000,85920;960000,181920},2,1),F20="一般劳务报酬所得",IF(AP20&lt;=20000,0,IF(AS&lt;=50000,2000,7000)),F20="全年一次性奖金收入",VLOOKUP(AP20/12,{0,0;3000,210;12000,1410;25000,2660;35000,4410;55000,7160;80000,15160},2,1),F20="解除劳动合同一次性补偿金",VLOOKUP(AP20,{0,0;36000,2520;144000,16920;300000,31920;420000,52920;660000,85920;960000,181920},2,1))</f>
        <v>#N/A</v>
      </c>
      <c r="AS20" s="89" t="e">
        <f t="shared" si="12"/>
        <v>#N/A</v>
      </c>
      <c r="AT20" s="89">
        <v>0</v>
      </c>
      <c r="AU20" s="89">
        <f t="shared" si="13"/>
        <v>7106.76</v>
      </c>
      <c r="AV20" s="89" t="e">
        <f t="shared" si="14"/>
        <v>#N/A</v>
      </c>
      <c r="AW20" s="87"/>
      <c r="AX20" s="90">
        <f>IFERROR(IF(F20="正常工资薪金",VLOOKUP(D20&amp;"*",个税上月累计情况!E:AL,26,0),0),0)</f>
        <v>147052.64</v>
      </c>
      <c r="AY20" s="90">
        <f>IFERROR(IF(F20="正常工资薪金",VLOOKUP(D20&amp;"*",个税上月累计情况!E:AL,27,0),0),0)</f>
        <v>35000</v>
      </c>
      <c r="AZ20" s="90">
        <f>IFERROR(IF(F20="正常工资薪金",VLOOKUP(D20&amp;"*",个税上月累计情况!E:AL,28,0),0),0)</f>
        <v>15785.07</v>
      </c>
      <c r="BA20" s="90">
        <f>IFERROR(IF(F20="正常工资薪金",VLOOKUP(D20&amp;"*",个税上月累计情况!E:AL,29,0),0),0)</f>
        <v>0</v>
      </c>
      <c r="BB20" s="90">
        <f>IFERROR(IF(F20="正常工资薪金",VLOOKUP(D20&amp;"*",个税上月累计情况!E:AL,30,0),0),0)</f>
        <v>0</v>
      </c>
      <c r="BC20" s="90">
        <f>IFERROR(IF(F20="正常工资薪金",VLOOKUP(D20&amp;"*",个税上月累计情况!E:AL,31,0),0),0)</f>
        <v>0</v>
      </c>
      <c r="BD20" s="90">
        <f>IFERROR(IF(F20="正常工资薪金",VLOOKUP(D20&amp;"*",个税上月累计情况!E:AL,32,0),0),0)</f>
        <v>0</v>
      </c>
      <c r="BE20" s="90">
        <f>IFERROR(IF(F20="正常工资薪金",VLOOKUP(D20&amp;"*",个税上月累计情况!E:AL,33,0),0),0)</f>
        <v>0</v>
      </c>
      <c r="BF20" s="90">
        <f>IFERROR(IF(F20="正常工资薪金",VLOOKUP(D20&amp;"*",个税上月累计情况!E:AL,34,0),0),0)</f>
        <v>0</v>
      </c>
      <c r="BG20" s="90">
        <f>IFERROR(IF(F20="正常工资薪金",VLOOKUP(D20&amp;"*",个税上月累计情况!E:AN,35,0),0),0)</f>
        <v>0</v>
      </c>
      <c r="BH20" s="90">
        <f>IFERROR(IF(F20="正常工资薪金",VLOOKUP(D20&amp;"*",个税上月累计情况!E:AN,36,0),0),0)</f>
        <v>0</v>
      </c>
      <c r="BI20" s="90">
        <f>IFERROR(IF(F20="正常工资薪金",VLOOKUP(D20&amp;"*",个税上月累计情况!D:AW,46,0),0),0)</f>
        <v>5728.3</v>
      </c>
      <c r="BJ20" s="90">
        <f>IFERROR(IF(F20="正常工资薪金",VLOOKUP(D20&amp;"*",个税上月累计情况!D:AX,47,0),0),0)</f>
        <v>1378.46</v>
      </c>
      <c r="BK20" t="e">
        <f>VLOOKUP(B20,花名册!C:N,12,0)</f>
        <v>#N/A</v>
      </c>
    </row>
    <row r="21" ht="19.5" spans="1:63">
      <c r="A21" s="87"/>
      <c r="B21" s="87" t="s">
        <v>305</v>
      </c>
      <c r="C21" s="87" t="s">
        <v>268</v>
      </c>
      <c r="D21" s="87" t="s">
        <v>306</v>
      </c>
      <c r="E21" s="87" t="s">
        <v>270</v>
      </c>
      <c r="F21" s="87" t="s">
        <v>271</v>
      </c>
      <c r="G21" s="89" t="e" cm="1">
        <f t="array" ref="G21">_xlfn.IFS(F21="正常工资薪金",VLOOKUP(D21&amp;"*",工资表明细!D:BL,61,0),F21="一般劳务报酬所得",VLOOKUP(D21&amp;"*",工资表明细!D:BJ,59,0),F21="全年一次性奖金收入",VLOOKUP(D21&amp;"*",工资表明细!D:BI,58,0),F21="解除劳动合同一次性补偿金",VLOOKUP(D21&amp;"*",工资表明细!D:BH,57,0))</f>
        <v>#N/A</v>
      </c>
      <c r="H21" s="89">
        <f t="shared" si="0"/>
        <v>0</v>
      </c>
      <c r="I21" s="89">
        <v>0</v>
      </c>
      <c r="J21" s="89">
        <f t="shared" si="1"/>
        <v>5000</v>
      </c>
      <c r="K21" s="89" t="e">
        <f>IF(F21="正常工资薪金",VLOOKUP(D21&amp;"*",工资表明细!D:AP,39,0),0)</f>
        <v>#N/A</v>
      </c>
      <c r="L21" s="89" t="e">
        <f>IF(F21="正常工资薪金",VLOOKUP(D21&amp;"*",工资表明细!D:AQ,40,0),0)</f>
        <v>#N/A</v>
      </c>
      <c r="M21" s="89" t="e">
        <f>IF(F21="正常工资薪金",VLOOKUP(D21&amp;"*",工资表明细!D:AR,41,0),0)</f>
        <v>#N/A</v>
      </c>
      <c r="N21" s="89" t="e">
        <f>IF(F21="正常工资薪金",VLOOKUP(D21&amp;"*",工资表明细!D:AT,43,0),0)</f>
        <v>#N/A</v>
      </c>
      <c r="O21" s="89">
        <v>16</v>
      </c>
      <c r="P21" s="89">
        <v>16</v>
      </c>
      <c r="Q21" s="89">
        <v>16</v>
      </c>
      <c r="R21" s="89">
        <v>16</v>
      </c>
      <c r="S21" s="89">
        <v>16</v>
      </c>
      <c r="T21" s="89">
        <v>16</v>
      </c>
      <c r="U21" s="89">
        <v>16</v>
      </c>
      <c r="V21" s="89">
        <v>16</v>
      </c>
      <c r="W21" s="87" t="s">
        <v>272</v>
      </c>
      <c r="X21" s="89">
        <v>16</v>
      </c>
      <c r="Y21" s="87" t="s">
        <v>272</v>
      </c>
      <c r="Z21" s="87" t="s">
        <v>272</v>
      </c>
      <c r="AA21" s="87" t="s">
        <v>272</v>
      </c>
      <c r="AB21" s="89">
        <v>16</v>
      </c>
      <c r="AC21" s="89" t="e">
        <f t="shared" si="2"/>
        <v>#N/A</v>
      </c>
      <c r="AD21" s="89">
        <f t="shared" si="3"/>
        <v>40000</v>
      </c>
      <c r="AE21" s="89" t="e">
        <f t="shared" si="4"/>
        <v>#N/A</v>
      </c>
      <c r="AF21" s="89">
        <f t="shared" si="5"/>
        <v>0</v>
      </c>
      <c r="AG21" s="89">
        <f t="shared" si="6"/>
        <v>0</v>
      </c>
      <c r="AH21" s="89">
        <f t="shared" si="7"/>
        <v>0</v>
      </c>
      <c r="AI21" s="89">
        <f t="shared" si="8"/>
        <v>0</v>
      </c>
      <c r="AJ21" s="89">
        <f t="shared" si="9"/>
        <v>0</v>
      </c>
      <c r="AK21" s="89">
        <f t="shared" si="10"/>
        <v>0</v>
      </c>
      <c r="AL21" s="89">
        <v>0</v>
      </c>
      <c r="AM21" s="89">
        <v>0</v>
      </c>
      <c r="AN21" s="87" t="s">
        <v>273</v>
      </c>
      <c r="AO21" s="89">
        <v>0</v>
      </c>
      <c r="AP21" s="89" t="e">
        <f t="shared" si="11"/>
        <v>#N/A</v>
      </c>
      <c r="AQ21" s="89" t="e" cm="1">
        <f t="array" ref="AQ21">_xlfn.IFS(F21="正常工资薪金",VLOOKUP(AP21,{0,0.03;36000,0.1;144000,0.2;300000,0.25;420000,0.3;660000,0.35;960000,0.45},2,1),F21="一般劳务报酬所得",IF(AP21&lt;=20000,0.2,IF(AP21&lt;=50000,0.3,0.4)),F21="全年一次性奖金收入",VLOOKUP(AP21/12,{0,0.03;3000,0.1;12000,0.2;25000,0.25;35000,0.3;55000,0.35;80000,0.45},2,1),F21="解除劳动合同一次性补偿金",VLOOKUP(AP21,{0,0.03;36000,0.1;144000,0.2;300000,0.25;420000,0.3;660000,0.35;960000,0.45},2,1))</f>
        <v>#N/A</v>
      </c>
      <c r="AR21" s="89" t="e" cm="1">
        <f t="array" ref="AR21">_xlfn.IFS(F21="正常工资薪金",VLOOKUP(AP21,{0,0;36000,2520;144000,16920;300000,31920;420000,52920;660000,85920;960000,181920},2,1),F21="一般劳务报酬所得",IF(AP21&lt;=20000,0,IF(AS&lt;=50000,2000,7000)),F21="全年一次性奖金收入",VLOOKUP(AP21/12,{0,0;3000,210;12000,1410;25000,2660;35000,4410;55000,7160;80000,15160},2,1),F21="解除劳动合同一次性补偿金",VLOOKUP(AP21,{0,0;36000,2520;144000,16920;300000,31920;420000,52920;660000,85920;960000,181920},2,1))</f>
        <v>#N/A</v>
      </c>
      <c r="AS21" s="89" t="e">
        <f t="shared" si="12"/>
        <v>#N/A</v>
      </c>
      <c r="AT21" s="89">
        <v>0</v>
      </c>
      <c r="AU21" s="89">
        <f t="shared" si="13"/>
        <v>422.82</v>
      </c>
      <c r="AV21" s="89" t="e">
        <f t="shared" si="14"/>
        <v>#N/A</v>
      </c>
      <c r="AW21" s="87"/>
      <c r="AX21" s="90">
        <f>IFERROR(IF(F21="正常工资薪金",VLOOKUP(D21&amp;"*",个税上月累计情况!E:AL,26,0),0),0)</f>
        <v>86315.46</v>
      </c>
      <c r="AY21" s="90">
        <f>IFERROR(IF(F21="正常工资薪金",VLOOKUP(D21&amp;"*",个税上月累计情况!E:AL,27,0),0),0)</f>
        <v>35000</v>
      </c>
      <c r="AZ21" s="90">
        <f>IFERROR(IF(F21="正常工资薪金",VLOOKUP(D21&amp;"*",个税上月累计情况!E:AL,28,0),0),0)</f>
        <v>16114</v>
      </c>
      <c r="BA21" s="90">
        <f>IFERROR(IF(F21="正常工资薪金",VLOOKUP(D21&amp;"*",个税上月累计情况!E:AL,29,0),0),0)</f>
        <v>7000</v>
      </c>
      <c r="BB21" s="90">
        <f>IFERROR(IF(F21="正常工资薪金",VLOOKUP(D21&amp;"*",个税上月累计情况!E:AL,30,0),0),0)</f>
        <v>21000</v>
      </c>
      <c r="BC21" s="90">
        <f>IFERROR(IF(F21="正常工资薪金",VLOOKUP(D21&amp;"*",个税上月累计情况!E:AL,31,0),0),0)</f>
        <v>0</v>
      </c>
      <c r="BD21" s="90">
        <f>IFERROR(IF(F21="正常工资薪金",VLOOKUP(D21&amp;"*",个税上月累计情况!E:AL,32,0),0),0)</f>
        <v>0</v>
      </c>
      <c r="BE21" s="90">
        <f>IFERROR(IF(F21="正常工资薪金",VLOOKUP(D21&amp;"*",个税上月累计情况!E:AL,33,0),0),0)</f>
        <v>0</v>
      </c>
      <c r="BF21" s="90">
        <f>IFERROR(IF(F21="正常工资薪金",VLOOKUP(D21&amp;"*",个税上月累计情况!E:AL,34,0),0),0)</f>
        <v>0</v>
      </c>
      <c r="BG21" s="90">
        <f>IFERROR(IF(F21="正常工资薪金",VLOOKUP(D21&amp;"*",个税上月累计情况!E:AN,35,0),0),0)</f>
        <v>0</v>
      </c>
      <c r="BH21" s="90">
        <f>IFERROR(IF(F21="正常工资薪金",VLOOKUP(D21&amp;"*",个税上月累计情况!E:AN,36,0),0),0)</f>
        <v>0</v>
      </c>
      <c r="BI21" s="90">
        <f>IFERROR(IF(F21="正常工资薪金",VLOOKUP(D21&amp;"*",个税上月累计情况!D:AW,46,0),0),0)</f>
        <v>422.82</v>
      </c>
      <c r="BJ21" s="90">
        <f>IFERROR(IF(F21="正常工资薪金",VLOOKUP(D21&amp;"*",个税上月累计情况!D:AX,47,0),0),0)</f>
        <v>0</v>
      </c>
      <c r="BK21" t="e">
        <f>VLOOKUP(B21,花名册!C:N,12,0)</f>
        <v>#N/A</v>
      </c>
    </row>
    <row r="22" ht="19.5" hidden="1" spans="1:63">
      <c r="A22" s="87"/>
      <c r="B22" s="87" t="s">
        <v>307</v>
      </c>
      <c r="C22" s="87" t="s">
        <v>268</v>
      </c>
      <c r="D22" s="87" t="s">
        <v>308</v>
      </c>
      <c r="E22" s="87" t="s">
        <v>270</v>
      </c>
      <c r="F22" s="87" t="s">
        <v>271</v>
      </c>
      <c r="G22" s="89" t="e" cm="1">
        <f t="array" ref="G22">_xlfn.IFS(F22="正常工资薪金",VLOOKUP(D22&amp;"*",工资表明细!D:BL,61,0),F22="一般劳务报酬所得",VLOOKUP(D22&amp;"*",工资表明细!D:BJ,59,0),F22="全年一次性奖金收入",VLOOKUP(D22&amp;"*",工资表明细!D:BI,58,0),F22="解除劳动合同一次性补偿金",VLOOKUP(D22&amp;"*",工资表明细!D:BH,57,0))</f>
        <v>#N/A</v>
      </c>
      <c r="H22" s="89">
        <f t="shared" si="0"/>
        <v>0</v>
      </c>
      <c r="I22" s="89">
        <v>0</v>
      </c>
      <c r="J22" s="89">
        <f t="shared" si="1"/>
        <v>5000</v>
      </c>
      <c r="K22" s="89" t="e">
        <f>IF(F22="正常工资薪金",VLOOKUP(D22&amp;"*",工资表明细!D:AP,39,0),0)</f>
        <v>#N/A</v>
      </c>
      <c r="L22" s="89" t="e">
        <f>IF(F22="正常工资薪金",VLOOKUP(D22&amp;"*",工资表明细!D:AQ,40,0),0)</f>
        <v>#N/A</v>
      </c>
      <c r="M22" s="89" t="e">
        <f>IF(F22="正常工资薪金",VLOOKUP(D22&amp;"*",工资表明细!D:AR,41,0),0)</f>
        <v>#N/A</v>
      </c>
      <c r="N22" s="89" t="e">
        <f>IF(F22="正常工资薪金",VLOOKUP(D22&amp;"*",工资表明细!D:AT,43,0),0)</f>
        <v>#N/A</v>
      </c>
      <c r="O22" s="89">
        <v>17</v>
      </c>
      <c r="P22" s="89">
        <v>17</v>
      </c>
      <c r="Q22" s="89">
        <v>17</v>
      </c>
      <c r="R22" s="89">
        <v>17</v>
      </c>
      <c r="S22" s="89">
        <v>17</v>
      </c>
      <c r="T22" s="89">
        <v>17</v>
      </c>
      <c r="U22" s="89">
        <v>17</v>
      </c>
      <c r="V22" s="89">
        <v>17</v>
      </c>
      <c r="W22" s="87" t="s">
        <v>272</v>
      </c>
      <c r="X22" s="89">
        <v>17</v>
      </c>
      <c r="Y22" s="87" t="s">
        <v>272</v>
      </c>
      <c r="Z22" s="87" t="s">
        <v>272</v>
      </c>
      <c r="AA22" s="87" t="s">
        <v>272</v>
      </c>
      <c r="AB22" s="89">
        <v>17</v>
      </c>
      <c r="AC22" s="89" t="e">
        <f t="shared" si="2"/>
        <v>#N/A</v>
      </c>
      <c r="AD22" s="89">
        <f t="shared" si="3"/>
        <v>40000</v>
      </c>
      <c r="AE22" s="89" t="e">
        <f t="shared" si="4"/>
        <v>#N/A</v>
      </c>
      <c r="AF22" s="89">
        <f t="shared" si="5"/>
        <v>0</v>
      </c>
      <c r="AG22" s="89">
        <f t="shared" si="6"/>
        <v>0</v>
      </c>
      <c r="AH22" s="89">
        <f t="shared" si="7"/>
        <v>0</v>
      </c>
      <c r="AI22" s="89">
        <f t="shared" si="8"/>
        <v>0</v>
      </c>
      <c r="AJ22" s="89">
        <f t="shared" si="9"/>
        <v>0</v>
      </c>
      <c r="AK22" s="89">
        <f t="shared" si="10"/>
        <v>0</v>
      </c>
      <c r="AL22" s="89">
        <v>0</v>
      </c>
      <c r="AM22" s="89">
        <v>0</v>
      </c>
      <c r="AN22" s="87" t="s">
        <v>273</v>
      </c>
      <c r="AO22" s="89">
        <v>0</v>
      </c>
      <c r="AP22" s="89" t="e">
        <f t="shared" si="11"/>
        <v>#N/A</v>
      </c>
      <c r="AQ22" s="89" t="e" cm="1">
        <f t="array" ref="AQ22">_xlfn.IFS(F22="正常工资薪金",VLOOKUP(AP22,{0,0.03;36000,0.1;144000,0.2;300000,0.25;420000,0.3;660000,0.35;960000,0.45},2,1),F22="一般劳务报酬所得",IF(AP22&lt;=20000,0.2,IF(AP22&lt;=50000,0.3,0.4)),F22="全年一次性奖金收入",VLOOKUP(AP22/12,{0,0.03;3000,0.1;12000,0.2;25000,0.25;35000,0.3;55000,0.35;80000,0.45},2,1),F22="解除劳动合同一次性补偿金",VLOOKUP(AP22,{0,0.03;36000,0.1;144000,0.2;300000,0.25;420000,0.3;660000,0.35;960000,0.45},2,1))</f>
        <v>#N/A</v>
      </c>
      <c r="AR22" s="89" t="e" cm="1">
        <f t="array" ref="AR22">_xlfn.IFS(F22="正常工资薪金",VLOOKUP(AP22,{0,0;36000,2520;144000,16920;300000,31920;420000,52920;660000,85920;960000,181920},2,1),F22="一般劳务报酬所得",IF(AP22&lt;=20000,0,IF(AS&lt;=50000,2000,7000)),F22="全年一次性奖金收入",VLOOKUP(AP22/12,{0,0;3000,210;12000,1410;25000,2660;35000,4410;55000,7160;80000,15160},2,1),F22="解除劳动合同一次性补偿金",VLOOKUP(AP22,{0,0;36000,2520;144000,16920;300000,31920;420000,52920;660000,85920;960000,181920},2,1))</f>
        <v>#N/A</v>
      </c>
      <c r="AS22" s="89" t="e">
        <f t="shared" si="12"/>
        <v>#N/A</v>
      </c>
      <c r="AT22" s="89">
        <v>0</v>
      </c>
      <c r="AU22" s="89">
        <f t="shared" si="13"/>
        <v>3935.83</v>
      </c>
      <c r="AV22" s="89" t="e">
        <f t="shared" si="14"/>
        <v>#N/A</v>
      </c>
      <c r="AW22" s="87"/>
      <c r="AX22" s="90">
        <f>IFERROR(IF(F22="正常工资薪金",VLOOKUP(D22&amp;"*",个税上月累计情况!E:AL,26,0),0),0)</f>
        <v>111843.38</v>
      </c>
      <c r="AY22" s="90">
        <f>IFERROR(IF(F22="正常工资薪金",VLOOKUP(D22&amp;"*",个税上月累计情况!E:AL,27,0),0),0)</f>
        <v>35000</v>
      </c>
      <c r="AZ22" s="90">
        <f>IFERROR(IF(F22="正常工资薪金",VLOOKUP(D22&amp;"*",个税上月累计情况!E:AL,28,0),0),0)</f>
        <v>12285.07</v>
      </c>
      <c r="BA22" s="90">
        <f>IFERROR(IF(F22="正常工资薪金",VLOOKUP(D22&amp;"*",个税上月累计情况!E:AL,29,0),0),0)</f>
        <v>0</v>
      </c>
      <c r="BB22" s="90">
        <f>IFERROR(IF(F22="正常工资薪金",VLOOKUP(D22&amp;"*",个税上月累计情况!E:AL,30,0),0),0)</f>
        <v>0</v>
      </c>
      <c r="BC22" s="90">
        <f>IFERROR(IF(F22="正常工资薪金",VLOOKUP(D22&amp;"*",个税上月累计情况!E:AL,31,0),0),0)</f>
        <v>0</v>
      </c>
      <c r="BD22" s="90">
        <f>IFERROR(IF(F22="正常工资薪金",VLOOKUP(D22&amp;"*",个税上月累计情况!E:AL,32,0),0),0)</f>
        <v>0</v>
      </c>
      <c r="BE22" s="90">
        <f>IFERROR(IF(F22="正常工资薪金",VLOOKUP(D22&amp;"*",个税上月累计情况!E:AL,33,0),0),0)</f>
        <v>0</v>
      </c>
      <c r="BF22" s="90">
        <f>IFERROR(IF(F22="正常工资薪金",VLOOKUP(D22&amp;"*",个税上月累计情况!E:AL,34,0),0),0)</f>
        <v>0</v>
      </c>
      <c r="BG22" s="90">
        <f>IFERROR(IF(F22="正常工资薪金",VLOOKUP(D22&amp;"*",个税上月累计情况!E:AN,35,0),0),0)</f>
        <v>0</v>
      </c>
      <c r="BH22" s="90">
        <f>IFERROR(IF(F22="正常工资薪金",VLOOKUP(D22&amp;"*",个税上月累计情况!E:AN,36,0),0),0)</f>
        <v>0</v>
      </c>
      <c r="BI22" s="90">
        <f>IFERROR(IF(F22="正常工资薪金",VLOOKUP(D22&amp;"*",个税上月累计情况!D:AW,46,0),0),0)</f>
        <v>3011.33</v>
      </c>
      <c r="BJ22" s="90">
        <f>IFERROR(IF(F22="正常工资薪金",VLOOKUP(D22&amp;"*",个税上月累计情况!D:AX,47,0),0),0)</f>
        <v>924.5</v>
      </c>
      <c r="BK22" t="e">
        <f>VLOOKUP(B22,花名册!C:N,12,0)</f>
        <v>#N/A</v>
      </c>
    </row>
    <row r="23" ht="19.5" hidden="1" spans="1:63">
      <c r="A23" s="87"/>
      <c r="B23" s="87" t="s">
        <v>309</v>
      </c>
      <c r="C23" s="87" t="s">
        <v>268</v>
      </c>
      <c r="D23" s="224" t="s">
        <v>310</v>
      </c>
      <c r="E23" s="87" t="s">
        <v>270</v>
      </c>
      <c r="F23" s="87" t="s">
        <v>271</v>
      </c>
      <c r="G23" s="89" t="e" cm="1">
        <f t="array" ref="G23">_xlfn.IFS(F23="正常工资薪金",VLOOKUP(D23&amp;"*",工资表明细!D:BL,61,0),F23="一般劳务报酬所得",VLOOKUP(D23&amp;"*",工资表明细!D:BJ,59,0),F23="全年一次性奖金收入",VLOOKUP(D23&amp;"*",工资表明细!D:BI,58,0),F23="解除劳动合同一次性补偿金",VLOOKUP(D23&amp;"*",工资表明细!D:BH,57,0))</f>
        <v>#N/A</v>
      </c>
      <c r="H23" s="89">
        <f t="shared" si="0"/>
        <v>0</v>
      </c>
      <c r="I23" s="89">
        <v>0</v>
      </c>
      <c r="J23" s="89">
        <f t="shared" si="1"/>
        <v>5000</v>
      </c>
      <c r="K23" s="89" t="e">
        <f>IF(F23="正常工资薪金",VLOOKUP(D23&amp;"*",工资表明细!D:AP,39,0),0)</f>
        <v>#N/A</v>
      </c>
      <c r="L23" s="89" t="e">
        <f>IF(F23="正常工资薪金",VLOOKUP(D23&amp;"*",工资表明细!D:AQ,40,0),0)</f>
        <v>#N/A</v>
      </c>
      <c r="M23" s="89" t="e">
        <f>IF(F23="正常工资薪金",VLOOKUP(D23&amp;"*",工资表明细!D:AR,41,0),0)</f>
        <v>#N/A</v>
      </c>
      <c r="N23" s="89" t="e">
        <f>IF(F23="正常工资薪金",VLOOKUP(D23&amp;"*",工资表明细!D:AT,43,0),0)</f>
        <v>#N/A</v>
      </c>
      <c r="O23" s="89">
        <v>18</v>
      </c>
      <c r="P23" s="89">
        <v>18</v>
      </c>
      <c r="Q23" s="89">
        <v>18</v>
      </c>
      <c r="R23" s="89">
        <v>18</v>
      </c>
      <c r="S23" s="89">
        <v>18</v>
      </c>
      <c r="T23" s="89">
        <v>18</v>
      </c>
      <c r="U23" s="89">
        <v>18</v>
      </c>
      <c r="V23" s="89">
        <v>18</v>
      </c>
      <c r="W23" s="87" t="s">
        <v>272</v>
      </c>
      <c r="X23" s="89">
        <v>18</v>
      </c>
      <c r="Y23" s="87" t="s">
        <v>272</v>
      </c>
      <c r="Z23" s="87" t="s">
        <v>272</v>
      </c>
      <c r="AA23" s="87" t="s">
        <v>272</v>
      </c>
      <c r="AB23" s="89">
        <v>18</v>
      </c>
      <c r="AC23" s="89" t="e">
        <f t="shared" si="2"/>
        <v>#N/A</v>
      </c>
      <c r="AD23" s="89">
        <f t="shared" si="3"/>
        <v>40000</v>
      </c>
      <c r="AE23" s="89" t="e">
        <f t="shared" si="4"/>
        <v>#N/A</v>
      </c>
      <c r="AF23" s="89">
        <f t="shared" si="5"/>
        <v>0</v>
      </c>
      <c r="AG23" s="89">
        <f t="shared" si="6"/>
        <v>0</v>
      </c>
      <c r="AH23" s="89">
        <f t="shared" si="7"/>
        <v>0</v>
      </c>
      <c r="AI23" s="89">
        <f t="shared" si="8"/>
        <v>0</v>
      </c>
      <c r="AJ23" s="89">
        <f t="shared" si="9"/>
        <v>0</v>
      </c>
      <c r="AK23" s="89">
        <f t="shared" si="10"/>
        <v>0</v>
      </c>
      <c r="AL23" s="89">
        <v>0</v>
      </c>
      <c r="AM23" s="89">
        <v>0</v>
      </c>
      <c r="AN23" s="87" t="s">
        <v>273</v>
      </c>
      <c r="AO23" s="89">
        <v>0</v>
      </c>
      <c r="AP23" s="89" t="e">
        <f t="shared" si="11"/>
        <v>#N/A</v>
      </c>
      <c r="AQ23" s="89" t="e" cm="1">
        <f t="array" ref="AQ23">_xlfn.IFS(F23="正常工资薪金",VLOOKUP(AP23,{0,0.03;36000,0.1;144000,0.2;300000,0.25;420000,0.3;660000,0.35;960000,0.45},2,1),F23="一般劳务报酬所得",IF(AP23&lt;=20000,0.2,IF(AP23&lt;=50000,0.3,0.4)),F23="全年一次性奖金收入",VLOOKUP(AP23/12,{0,0.03;3000,0.1;12000,0.2;25000,0.25;35000,0.3;55000,0.35;80000,0.45},2,1),F23="解除劳动合同一次性补偿金",VLOOKUP(AP23,{0,0.03;36000,0.1;144000,0.2;300000,0.25;420000,0.3;660000,0.35;960000,0.45},2,1))</f>
        <v>#N/A</v>
      </c>
      <c r="AR23" s="89" t="e" cm="1">
        <f t="array" ref="AR23">_xlfn.IFS(F23="正常工资薪金",VLOOKUP(AP23,{0,0;36000,2520;144000,16920;300000,31920;420000,52920;660000,85920;960000,181920},2,1),F23="一般劳务报酬所得",IF(AP23&lt;=20000,0,IF(AS&lt;=50000,2000,7000)),F23="全年一次性奖金收入",VLOOKUP(AP23/12,{0,0;3000,210;12000,1410;25000,2660;35000,4410;55000,7160;80000,15160},2,1),F23="解除劳动合同一次性补偿金",VLOOKUP(AP23,{0,0;36000,2520;144000,16920;300000,31920;420000,52920;660000,85920;960000,181920},2,1))</f>
        <v>#N/A</v>
      </c>
      <c r="AS23" s="89" t="e">
        <f t="shared" si="12"/>
        <v>#N/A</v>
      </c>
      <c r="AT23" s="89">
        <v>0</v>
      </c>
      <c r="AU23" s="89">
        <f t="shared" si="13"/>
        <v>7330.56</v>
      </c>
      <c r="AV23" s="89" t="e">
        <f t="shared" si="14"/>
        <v>#N/A</v>
      </c>
      <c r="AW23" s="87"/>
      <c r="AX23" s="90">
        <f>IFERROR(IF(F23="正常工资薪金",VLOOKUP(D23&amp;"*",个税上月累计情况!E:AL,26,0),0),0)</f>
        <v>148065.65</v>
      </c>
      <c r="AY23" s="90">
        <f>IFERROR(IF(F23="正常工资薪金",VLOOKUP(D23&amp;"*",个税上月累计情况!E:AL,27,0),0),0)</f>
        <v>35000</v>
      </c>
      <c r="AZ23" s="90">
        <f>IFERROR(IF(F23="正常工资薪金",VLOOKUP(D23&amp;"*",个税上月累计情况!E:AL,28,0),0),0)</f>
        <v>14560.07</v>
      </c>
      <c r="BA23" s="90">
        <f>IFERROR(IF(F23="正常工资薪金",VLOOKUP(D23&amp;"*",个税上月累计情况!E:AL,29,0),0),0)</f>
        <v>0</v>
      </c>
      <c r="BB23" s="90">
        <f>IFERROR(IF(F23="正常工资薪金",VLOOKUP(D23&amp;"*",个税上月累计情况!E:AL,30,0),0),0)</f>
        <v>0</v>
      </c>
      <c r="BC23" s="90">
        <f>IFERROR(IF(F23="正常工资薪金",VLOOKUP(D23&amp;"*",个税上月累计情况!E:AL,31,0),0),0)</f>
        <v>0</v>
      </c>
      <c r="BD23" s="90">
        <f>IFERROR(IF(F23="正常工资薪金",VLOOKUP(D23&amp;"*",个税上月累计情况!E:AL,32,0),0),0)</f>
        <v>0</v>
      </c>
      <c r="BE23" s="90">
        <f>IFERROR(IF(F23="正常工资薪金",VLOOKUP(D23&amp;"*",个税上月累计情况!E:AL,33,0),0),0)</f>
        <v>0</v>
      </c>
      <c r="BF23" s="90">
        <f>IFERROR(IF(F23="正常工资薪金",VLOOKUP(D23&amp;"*",个税上月累计情况!E:AL,34,0),0),0)</f>
        <v>0</v>
      </c>
      <c r="BG23" s="90">
        <f>IFERROR(IF(F23="正常工资薪金",VLOOKUP(D23&amp;"*",个税上月累计情况!E:AN,35,0),0),0)</f>
        <v>0</v>
      </c>
      <c r="BH23" s="90">
        <f>IFERROR(IF(F23="正常工资薪金",VLOOKUP(D23&amp;"*",个税上月累计情况!E:AN,36,0),0),0)</f>
        <v>0</v>
      </c>
      <c r="BI23" s="90">
        <f>IFERROR(IF(F23="正常工资薪金",VLOOKUP(D23&amp;"*",个税上月累计情况!D:AW,46,0),0),0)</f>
        <v>5921.08</v>
      </c>
      <c r="BJ23" s="90">
        <f>IFERROR(IF(F23="正常工资薪金",VLOOKUP(D23&amp;"*",个税上月累计情况!D:AX,47,0),0),0)</f>
        <v>1409.48</v>
      </c>
      <c r="BK23" t="e">
        <f>VLOOKUP(B23,花名册!C:N,12,0)</f>
        <v>#N/A</v>
      </c>
    </row>
    <row r="24" ht="19.5" hidden="1" spans="1:63">
      <c r="A24" s="87"/>
      <c r="B24" s="87" t="s">
        <v>311</v>
      </c>
      <c r="C24" s="87" t="s">
        <v>268</v>
      </c>
      <c r="D24" s="224" t="s">
        <v>312</v>
      </c>
      <c r="E24" s="87" t="s">
        <v>270</v>
      </c>
      <c r="F24" s="87" t="s">
        <v>271</v>
      </c>
      <c r="G24" s="89" t="e" cm="1">
        <f t="array" ref="G24">_xlfn.IFS(F24="正常工资薪金",VLOOKUP(D24&amp;"*",工资表明细!D:BL,61,0),F24="一般劳务报酬所得",VLOOKUP(D24&amp;"*",工资表明细!D:BJ,59,0),F24="全年一次性奖金收入",VLOOKUP(D24&amp;"*",工资表明细!D:BI,58,0),F24="解除劳动合同一次性补偿金",VLOOKUP(D24&amp;"*",工资表明细!D:BH,57,0))</f>
        <v>#N/A</v>
      </c>
      <c r="H24" s="89">
        <f t="shared" si="0"/>
        <v>0</v>
      </c>
      <c r="I24" s="89">
        <v>0</v>
      </c>
      <c r="J24" s="89">
        <f t="shared" si="1"/>
        <v>5000</v>
      </c>
      <c r="K24" s="89" t="e">
        <f>IF(F24="正常工资薪金",VLOOKUP(D24&amp;"*",工资表明细!D:AP,39,0),0)</f>
        <v>#N/A</v>
      </c>
      <c r="L24" s="89" t="e">
        <f>IF(F24="正常工资薪金",VLOOKUP(D24&amp;"*",工资表明细!D:AQ,40,0),0)</f>
        <v>#N/A</v>
      </c>
      <c r="M24" s="89" t="e">
        <f>IF(F24="正常工资薪金",VLOOKUP(D24&amp;"*",工资表明细!D:AR,41,0),0)</f>
        <v>#N/A</v>
      </c>
      <c r="N24" s="89" t="e">
        <f>IF(F24="正常工资薪金",VLOOKUP(D24&amp;"*",工资表明细!D:AT,43,0),0)</f>
        <v>#N/A</v>
      </c>
      <c r="O24" s="89">
        <v>19</v>
      </c>
      <c r="P24" s="89">
        <v>19</v>
      </c>
      <c r="Q24" s="89">
        <v>19</v>
      </c>
      <c r="R24" s="89">
        <v>19</v>
      </c>
      <c r="S24" s="89">
        <v>19</v>
      </c>
      <c r="T24" s="89">
        <v>19</v>
      </c>
      <c r="U24" s="89">
        <v>19</v>
      </c>
      <c r="V24" s="89">
        <v>19</v>
      </c>
      <c r="W24" s="87" t="s">
        <v>272</v>
      </c>
      <c r="X24" s="89">
        <v>19</v>
      </c>
      <c r="Y24" s="87" t="s">
        <v>272</v>
      </c>
      <c r="Z24" s="87" t="s">
        <v>272</v>
      </c>
      <c r="AA24" s="87" t="s">
        <v>272</v>
      </c>
      <c r="AB24" s="89">
        <v>19</v>
      </c>
      <c r="AC24" s="89" t="e">
        <f t="shared" si="2"/>
        <v>#N/A</v>
      </c>
      <c r="AD24" s="89">
        <f t="shared" si="3"/>
        <v>40000</v>
      </c>
      <c r="AE24" s="89" t="e">
        <f t="shared" si="4"/>
        <v>#N/A</v>
      </c>
      <c r="AF24" s="89">
        <f t="shared" si="5"/>
        <v>0</v>
      </c>
      <c r="AG24" s="89">
        <f t="shared" si="6"/>
        <v>0</v>
      </c>
      <c r="AH24" s="89">
        <f t="shared" si="7"/>
        <v>0</v>
      </c>
      <c r="AI24" s="89">
        <f t="shared" si="8"/>
        <v>0</v>
      </c>
      <c r="AJ24" s="89">
        <f t="shared" si="9"/>
        <v>0</v>
      </c>
      <c r="AK24" s="89">
        <f t="shared" si="10"/>
        <v>0</v>
      </c>
      <c r="AL24" s="89">
        <v>0</v>
      </c>
      <c r="AM24" s="89">
        <v>0</v>
      </c>
      <c r="AN24" s="87" t="s">
        <v>273</v>
      </c>
      <c r="AO24" s="89">
        <v>0</v>
      </c>
      <c r="AP24" s="89" t="e">
        <f t="shared" si="11"/>
        <v>#N/A</v>
      </c>
      <c r="AQ24" s="89" t="e" cm="1">
        <f t="array" ref="AQ24">_xlfn.IFS(F24="正常工资薪金",VLOOKUP(AP24,{0,0.03;36000,0.1;144000,0.2;300000,0.25;420000,0.3;660000,0.35;960000,0.45},2,1),F24="一般劳务报酬所得",IF(AP24&lt;=20000,0.2,IF(AP24&lt;=50000,0.3,0.4)),F24="全年一次性奖金收入",VLOOKUP(AP24/12,{0,0.03;3000,0.1;12000,0.2;25000,0.25;35000,0.3;55000,0.35;80000,0.45},2,1),F24="解除劳动合同一次性补偿金",VLOOKUP(AP24,{0,0.03;36000,0.1;144000,0.2;300000,0.25;420000,0.3;660000,0.35;960000,0.45},2,1))</f>
        <v>#N/A</v>
      </c>
      <c r="AR24" s="89" t="e" cm="1">
        <f t="array" ref="AR24">_xlfn.IFS(F24="正常工资薪金",VLOOKUP(AP24,{0,0;36000,2520;144000,16920;300000,31920;420000,52920;660000,85920;960000,181920},2,1),F24="一般劳务报酬所得",IF(AP24&lt;=20000,0,IF(AS&lt;=50000,2000,7000)),F24="全年一次性奖金收入",VLOOKUP(AP24/12,{0,0;3000,210;12000,1410;25000,2660;35000,4410;55000,7160;80000,15160},2,1),F24="解除劳动合同一次性补偿金",VLOOKUP(AP24,{0,0;36000,2520;144000,16920;300000,31920;420000,52920;660000,85920;960000,181920},2,1))</f>
        <v>#N/A</v>
      </c>
      <c r="AS24" s="89" t="e">
        <f t="shared" si="12"/>
        <v>#N/A</v>
      </c>
      <c r="AT24" s="89">
        <v>0</v>
      </c>
      <c r="AU24" s="89">
        <f t="shared" si="13"/>
        <v>11709.87</v>
      </c>
      <c r="AV24" s="89" t="e">
        <f t="shared" si="14"/>
        <v>#N/A</v>
      </c>
      <c r="AW24" s="87"/>
      <c r="AX24" s="90">
        <f>IFERROR(IF(F24="正常工资薪金",VLOOKUP(D24&amp;"*",个税上月累计情况!E:AL,26,0),0),0)</f>
        <v>192033.75</v>
      </c>
      <c r="AY24" s="90">
        <f>IFERROR(IF(F24="正常工资薪金",VLOOKUP(D24&amp;"*",个税上月累计情况!E:AL,27,0),0),0)</f>
        <v>35000</v>
      </c>
      <c r="AZ24" s="90">
        <f>IFERROR(IF(F24="正常工资薪金",VLOOKUP(D24&amp;"*",个税上月累计情况!E:AL,28,0),0),0)</f>
        <v>14735.07</v>
      </c>
      <c r="BA24" s="90">
        <f>IFERROR(IF(F24="正常工资薪金",VLOOKUP(D24&amp;"*",个税上月累计情况!E:AL,29,0),0),0)</f>
        <v>0</v>
      </c>
      <c r="BB24" s="90">
        <f>IFERROR(IF(F24="正常工资薪金",VLOOKUP(D24&amp;"*",个税上月累计情况!E:AL,30,0),0),0)</f>
        <v>0</v>
      </c>
      <c r="BC24" s="90">
        <f>IFERROR(IF(F24="正常工资薪金",VLOOKUP(D24&amp;"*",个税上月累计情况!E:AL,31,0),0),0)</f>
        <v>0</v>
      </c>
      <c r="BD24" s="90">
        <f>IFERROR(IF(F24="正常工资薪金",VLOOKUP(D24&amp;"*",个税上月累计情况!E:AL,32,0),0),0)</f>
        <v>0</v>
      </c>
      <c r="BE24" s="90">
        <f>IFERROR(IF(F24="正常工资薪金",VLOOKUP(D24&amp;"*",个税上月累计情况!E:AL,33,0),0),0)</f>
        <v>0</v>
      </c>
      <c r="BF24" s="90">
        <f>IFERROR(IF(F24="正常工资薪金",VLOOKUP(D24&amp;"*",个税上月累计情况!E:AL,34,0),0),0)</f>
        <v>0</v>
      </c>
      <c r="BG24" s="90">
        <f>IFERROR(IF(F24="正常工资薪金",VLOOKUP(D24&amp;"*",个税上月累计情况!E:AN,35,0),0),0)</f>
        <v>0</v>
      </c>
      <c r="BH24" s="90">
        <f>IFERROR(IF(F24="正常工资薪金",VLOOKUP(D24&amp;"*",个税上月累计情况!E:AN,36,0),0),0)</f>
        <v>0</v>
      </c>
      <c r="BI24" s="90">
        <f>IFERROR(IF(F24="正常工资薪金",VLOOKUP(D24&amp;"*",个税上月累计情况!D:AW,46,0),0),0)</f>
        <v>9721.68</v>
      </c>
      <c r="BJ24" s="90">
        <f>IFERROR(IF(F24="正常工资薪金",VLOOKUP(D24&amp;"*",个税上月累计情况!D:AX,47,0),0),0)</f>
        <v>1988.19</v>
      </c>
      <c r="BK24" t="e">
        <f>VLOOKUP(B24,花名册!C:N,12,0)</f>
        <v>#N/A</v>
      </c>
    </row>
    <row r="25" ht="19.5" hidden="1" spans="1:63">
      <c r="A25" s="87"/>
      <c r="B25" s="87" t="s">
        <v>313</v>
      </c>
      <c r="C25" s="87" t="s">
        <v>268</v>
      </c>
      <c r="D25" s="87" t="s">
        <v>314</v>
      </c>
      <c r="E25" s="87" t="s">
        <v>270</v>
      </c>
      <c r="F25" s="87" t="s">
        <v>271</v>
      </c>
      <c r="G25" s="89" t="e" cm="1">
        <f t="array" ref="G25">_xlfn.IFS(F25="正常工资薪金",VLOOKUP(D25&amp;"*",工资表明细!D:BL,61,0),F25="一般劳务报酬所得",VLOOKUP(D25&amp;"*",工资表明细!D:BJ,59,0),F25="全年一次性奖金收入",VLOOKUP(D25&amp;"*",工资表明细!D:BI,58,0),F25="解除劳动合同一次性补偿金",VLOOKUP(D25&amp;"*",工资表明细!D:BH,57,0))</f>
        <v>#N/A</v>
      </c>
      <c r="H25" s="89">
        <f t="shared" si="0"/>
        <v>0</v>
      </c>
      <c r="I25" s="89">
        <v>0</v>
      </c>
      <c r="J25" s="89">
        <f t="shared" si="1"/>
        <v>5000</v>
      </c>
      <c r="K25" s="89" t="e">
        <f>IF(F25="正常工资薪金",VLOOKUP(D25&amp;"*",工资表明细!D:AP,39,0),0)</f>
        <v>#N/A</v>
      </c>
      <c r="L25" s="89" t="e">
        <f>IF(F25="正常工资薪金",VLOOKUP(D25&amp;"*",工资表明细!D:AQ,40,0),0)</f>
        <v>#N/A</v>
      </c>
      <c r="M25" s="89" t="e">
        <f>IF(F25="正常工资薪金",VLOOKUP(D25&amp;"*",工资表明细!D:AR,41,0),0)</f>
        <v>#N/A</v>
      </c>
      <c r="N25" s="89" t="e">
        <f>IF(F25="正常工资薪金",VLOOKUP(D25&amp;"*",工资表明细!D:AT,43,0),0)</f>
        <v>#N/A</v>
      </c>
      <c r="O25" s="89">
        <v>20</v>
      </c>
      <c r="P25" s="89">
        <v>20</v>
      </c>
      <c r="Q25" s="89">
        <v>20</v>
      </c>
      <c r="R25" s="89">
        <v>20</v>
      </c>
      <c r="S25" s="89">
        <v>20</v>
      </c>
      <c r="T25" s="89">
        <v>20</v>
      </c>
      <c r="U25" s="89">
        <v>20</v>
      </c>
      <c r="V25" s="89">
        <v>20</v>
      </c>
      <c r="W25" s="87" t="s">
        <v>272</v>
      </c>
      <c r="X25" s="89">
        <v>20</v>
      </c>
      <c r="Y25" s="87" t="s">
        <v>272</v>
      </c>
      <c r="Z25" s="87" t="s">
        <v>272</v>
      </c>
      <c r="AA25" s="87" t="s">
        <v>272</v>
      </c>
      <c r="AB25" s="89">
        <v>20</v>
      </c>
      <c r="AC25" s="89" t="e">
        <f t="shared" si="2"/>
        <v>#N/A</v>
      </c>
      <c r="AD25" s="89">
        <f t="shared" si="3"/>
        <v>40000</v>
      </c>
      <c r="AE25" s="89" t="e">
        <f t="shared" si="4"/>
        <v>#N/A</v>
      </c>
      <c r="AF25" s="89">
        <f t="shared" si="5"/>
        <v>0</v>
      </c>
      <c r="AG25" s="89">
        <f t="shared" si="6"/>
        <v>0</v>
      </c>
      <c r="AH25" s="89">
        <f t="shared" si="7"/>
        <v>0</v>
      </c>
      <c r="AI25" s="89">
        <f t="shared" si="8"/>
        <v>0</v>
      </c>
      <c r="AJ25" s="89">
        <f t="shared" si="9"/>
        <v>0</v>
      </c>
      <c r="AK25" s="89">
        <f t="shared" si="10"/>
        <v>0</v>
      </c>
      <c r="AL25" s="89">
        <v>0</v>
      </c>
      <c r="AM25" s="89">
        <v>0</v>
      </c>
      <c r="AN25" s="87" t="s">
        <v>273</v>
      </c>
      <c r="AO25" s="89">
        <v>0</v>
      </c>
      <c r="AP25" s="89" t="e">
        <f t="shared" si="11"/>
        <v>#N/A</v>
      </c>
      <c r="AQ25" s="89" t="e" cm="1">
        <f t="array" ref="AQ25">_xlfn.IFS(F25="正常工资薪金",VLOOKUP(AP25,{0,0.03;36000,0.1;144000,0.2;300000,0.25;420000,0.3;660000,0.35;960000,0.45},2,1),F25="一般劳务报酬所得",IF(AP25&lt;=20000,0.2,IF(AP25&lt;=50000,0.3,0.4)),F25="全年一次性奖金收入",VLOOKUP(AP25/12,{0,0.03;3000,0.1;12000,0.2;25000,0.25;35000,0.3;55000,0.35;80000,0.45},2,1),F25="解除劳动合同一次性补偿金",VLOOKUP(AP25,{0,0.03;36000,0.1;144000,0.2;300000,0.25;420000,0.3;660000,0.35;960000,0.45},2,1))</f>
        <v>#N/A</v>
      </c>
      <c r="AR25" s="89" t="e" cm="1">
        <f t="array" ref="AR25">_xlfn.IFS(F25="正常工资薪金",VLOOKUP(AP25,{0,0;36000,2520;144000,16920;300000,31920;420000,52920;660000,85920;960000,181920},2,1),F25="一般劳务报酬所得",IF(AP25&lt;=20000,0,IF(AS&lt;=50000,2000,7000)),F25="全年一次性奖金收入",VLOOKUP(AP25/12,{0,0;3000,210;12000,1410;25000,2660;35000,4410;55000,7160;80000,15160},2,1),F25="解除劳动合同一次性补偿金",VLOOKUP(AP25,{0,0;36000,2520;144000,16920;300000,31920;420000,52920;660000,85920;960000,181920},2,1))</f>
        <v>#N/A</v>
      </c>
      <c r="AS25" s="89" t="e">
        <f t="shared" si="12"/>
        <v>#N/A</v>
      </c>
      <c r="AT25" s="89">
        <v>0</v>
      </c>
      <c r="AU25" s="89">
        <f t="shared" si="13"/>
        <v>5300.57</v>
      </c>
      <c r="AV25" s="89" t="e">
        <f t="shared" si="14"/>
        <v>#N/A</v>
      </c>
      <c r="AW25" s="87"/>
      <c r="AX25" s="90">
        <f>IFERROR(IF(F25="正常工资薪金",VLOOKUP(D25&amp;"*",个税上月累计情况!E:AL,26,0),0),0)</f>
        <v>127590.72</v>
      </c>
      <c r="AY25" s="90">
        <f>IFERROR(IF(F25="正常工资薪金",VLOOKUP(D25&amp;"*",个税上月累计情况!E:AL,27,0),0),0)</f>
        <v>35000</v>
      </c>
      <c r="AZ25" s="90">
        <f>IFERROR(IF(F25="正常工资薪金",VLOOKUP(D25&amp;"*",个税上月累计情况!E:AL,28,0),0),0)</f>
        <v>14385.07</v>
      </c>
      <c r="BA25" s="90">
        <f>IFERROR(IF(F25="正常工资薪金",VLOOKUP(D25&amp;"*",个税上月累计情况!E:AL,29,0),0),0)</f>
        <v>0</v>
      </c>
      <c r="BB25" s="90">
        <f>IFERROR(IF(F25="正常工资薪金",VLOOKUP(D25&amp;"*",个税上月累计情况!E:AL,30,0),0),0)</f>
        <v>0</v>
      </c>
      <c r="BC25" s="90">
        <f>IFERROR(IF(F25="正常工资薪金",VLOOKUP(D25&amp;"*",个税上月累计情况!E:AL,31,0),0),0)</f>
        <v>0</v>
      </c>
      <c r="BD25" s="90">
        <f>IFERROR(IF(F25="正常工资薪金",VLOOKUP(D25&amp;"*",个税上月累计情况!E:AL,32,0),0),0)</f>
        <v>0</v>
      </c>
      <c r="BE25" s="90">
        <f>IFERROR(IF(F25="正常工资薪金",VLOOKUP(D25&amp;"*",个税上月累计情况!E:AL,33,0),0),0)</f>
        <v>0</v>
      </c>
      <c r="BF25" s="90">
        <f>IFERROR(IF(F25="正常工资薪金",VLOOKUP(D25&amp;"*",个税上月累计情况!E:AL,34,0),0),0)</f>
        <v>0</v>
      </c>
      <c r="BG25" s="90">
        <f>IFERROR(IF(F25="正常工资薪金",VLOOKUP(D25&amp;"*",个税上月累计情况!E:AN,35,0),0),0)</f>
        <v>0</v>
      </c>
      <c r="BH25" s="90">
        <f>IFERROR(IF(F25="正常工资薪金",VLOOKUP(D25&amp;"*",个税上月累计情况!E:AN,36,0),0),0)</f>
        <v>0</v>
      </c>
      <c r="BI25" s="90">
        <f>IFERROR(IF(F25="正常工资薪金",VLOOKUP(D25&amp;"*",个税上月累计情况!D:AW,46,0),0),0)</f>
        <v>4186.07</v>
      </c>
      <c r="BJ25" s="90">
        <f>IFERROR(IF(F25="正常工资薪金",VLOOKUP(D25&amp;"*",个税上月累计情况!D:AX,47,0),0),0)</f>
        <v>1114.5</v>
      </c>
      <c r="BK25" t="e">
        <f>VLOOKUP(B25,花名册!C:N,12,0)</f>
        <v>#N/A</v>
      </c>
    </row>
    <row r="26" ht="19.5" hidden="1" spans="1:63">
      <c r="A26" s="87"/>
      <c r="B26" s="87" t="s">
        <v>315</v>
      </c>
      <c r="C26" s="87" t="s">
        <v>268</v>
      </c>
      <c r="D26" s="87" t="s">
        <v>316</v>
      </c>
      <c r="E26" s="87" t="s">
        <v>270</v>
      </c>
      <c r="F26" s="87" t="s">
        <v>271</v>
      </c>
      <c r="G26" s="89" t="e" cm="1">
        <f t="array" ref="G26">_xlfn.IFS(F26="正常工资薪金",VLOOKUP(D26&amp;"*",工资表明细!D:BL,61,0),F26="一般劳务报酬所得",VLOOKUP(D26&amp;"*",工资表明细!D:BJ,59,0),F26="全年一次性奖金收入",VLOOKUP(D26&amp;"*",工资表明细!D:BI,58,0),F26="解除劳动合同一次性补偿金",VLOOKUP(D26&amp;"*",工资表明细!D:BH,57,0))</f>
        <v>#N/A</v>
      </c>
      <c r="H26" s="89">
        <f t="shared" si="0"/>
        <v>0</v>
      </c>
      <c r="I26" s="89">
        <v>0</v>
      </c>
      <c r="J26" s="89">
        <f t="shared" si="1"/>
        <v>5000</v>
      </c>
      <c r="K26" s="89" t="e">
        <f>IF(F26="正常工资薪金",VLOOKUP(D26&amp;"*",工资表明细!D:AP,39,0),0)</f>
        <v>#N/A</v>
      </c>
      <c r="L26" s="89" t="e">
        <f>IF(F26="正常工资薪金",VLOOKUP(D26&amp;"*",工资表明细!D:AQ,40,0),0)</f>
        <v>#N/A</v>
      </c>
      <c r="M26" s="89" t="e">
        <f>IF(F26="正常工资薪金",VLOOKUP(D26&amp;"*",工资表明细!D:AR,41,0),0)</f>
        <v>#N/A</v>
      </c>
      <c r="N26" s="89" t="e">
        <f>IF(F26="正常工资薪金",VLOOKUP(D26&amp;"*",工资表明细!D:AT,43,0),0)</f>
        <v>#N/A</v>
      </c>
      <c r="O26" s="89">
        <v>21</v>
      </c>
      <c r="P26" s="89">
        <v>21</v>
      </c>
      <c r="Q26" s="89">
        <v>21</v>
      </c>
      <c r="R26" s="89">
        <v>21</v>
      </c>
      <c r="S26" s="89">
        <v>21</v>
      </c>
      <c r="T26" s="89">
        <v>21</v>
      </c>
      <c r="U26" s="89">
        <v>21</v>
      </c>
      <c r="V26" s="89">
        <v>21</v>
      </c>
      <c r="W26" s="87" t="s">
        <v>272</v>
      </c>
      <c r="X26" s="89">
        <v>21</v>
      </c>
      <c r="Y26" s="87" t="s">
        <v>272</v>
      </c>
      <c r="Z26" s="87" t="s">
        <v>272</v>
      </c>
      <c r="AA26" s="87" t="s">
        <v>272</v>
      </c>
      <c r="AB26" s="89">
        <v>21</v>
      </c>
      <c r="AC26" s="89" t="e">
        <f t="shared" si="2"/>
        <v>#N/A</v>
      </c>
      <c r="AD26" s="89">
        <f t="shared" si="3"/>
        <v>40000</v>
      </c>
      <c r="AE26" s="89" t="e">
        <f t="shared" si="4"/>
        <v>#N/A</v>
      </c>
      <c r="AF26" s="89">
        <f t="shared" si="5"/>
        <v>0</v>
      </c>
      <c r="AG26" s="89">
        <f t="shared" si="6"/>
        <v>0</v>
      </c>
      <c r="AH26" s="89">
        <f t="shared" si="7"/>
        <v>0</v>
      </c>
      <c r="AI26" s="89">
        <f t="shared" si="8"/>
        <v>0</v>
      </c>
      <c r="AJ26" s="89">
        <f t="shared" si="9"/>
        <v>0</v>
      </c>
      <c r="AK26" s="89">
        <f t="shared" si="10"/>
        <v>0</v>
      </c>
      <c r="AL26" s="89">
        <v>0</v>
      </c>
      <c r="AM26" s="89">
        <v>0</v>
      </c>
      <c r="AN26" s="87" t="s">
        <v>273</v>
      </c>
      <c r="AO26" s="89">
        <v>0</v>
      </c>
      <c r="AP26" s="89" t="e">
        <f t="shared" si="11"/>
        <v>#N/A</v>
      </c>
      <c r="AQ26" s="89" t="e" cm="1">
        <f t="array" ref="AQ26">_xlfn.IFS(F26="正常工资薪金",VLOOKUP(AP26,{0,0.03;36000,0.1;144000,0.2;300000,0.25;420000,0.3;660000,0.35;960000,0.45},2,1),F26="一般劳务报酬所得",IF(AP26&lt;=20000,0.2,IF(AP26&lt;=50000,0.3,0.4)),F26="全年一次性奖金收入",VLOOKUP(AP26/12,{0,0.03;3000,0.1;12000,0.2;25000,0.25;35000,0.3;55000,0.35;80000,0.45},2,1),F26="解除劳动合同一次性补偿金",VLOOKUP(AP26,{0,0.03;36000,0.1;144000,0.2;300000,0.25;420000,0.3;660000,0.35;960000,0.45},2,1))</f>
        <v>#N/A</v>
      </c>
      <c r="AR26" s="89" t="e" cm="1">
        <f t="array" ref="AR26">_xlfn.IFS(F26="正常工资薪金",VLOOKUP(AP26,{0,0;36000,2520;144000,16920;300000,31920;420000,52920;660000,85920;960000,181920},2,1),F26="一般劳务报酬所得",IF(AP26&lt;=20000,0,IF(AS&lt;=50000,2000,7000)),F26="全年一次性奖金收入",VLOOKUP(AP26/12,{0,0;3000,210;12000,1410;25000,2660;35000,4410;55000,7160;80000,15160},2,1),F26="解除劳动合同一次性补偿金",VLOOKUP(AP26,{0,0;36000,2520;144000,16920;300000,31920;420000,52920;660000,85920;960000,181920},2,1))</f>
        <v>#N/A</v>
      </c>
      <c r="AS26" s="89" t="e">
        <f t="shared" si="12"/>
        <v>#N/A</v>
      </c>
      <c r="AT26" s="89">
        <v>0</v>
      </c>
      <c r="AU26" s="89">
        <f t="shared" si="13"/>
        <v>7097.29</v>
      </c>
      <c r="AV26" s="89" t="e">
        <f t="shared" si="14"/>
        <v>#N/A</v>
      </c>
      <c r="AW26" s="87"/>
      <c r="AX26" s="90">
        <f>IFERROR(IF(F26="正常工资薪金",VLOOKUP(D26&amp;"*",个税上月累计情况!E:AL,26,0),0),0)</f>
        <v>146957.98</v>
      </c>
      <c r="AY26" s="90">
        <f>IFERROR(IF(F26="正常工资薪金",VLOOKUP(D26&amp;"*",个税上月累计情况!E:AL,27,0),0),0)</f>
        <v>35000</v>
      </c>
      <c r="AZ26" s="90">
        <f>IFERROR(IF(F26="正常工资薪金",VLOOKUP(D26&amp;"*",个税上月累计情况!E:AL,28,0),0),0)</f>
        <v>15785.07</v>
      </c>
      <c r="BA26" s="90">
        <f>IFERROR(IF(F26="正常工资薪金",VLOOKUP(D26&amp;"*",个税上月累计情况!E:AL,29,0),0),0)</f>
        <v>0</v>
      </c>
      <c r="BB26" s="90">
        <f>IFERROR(IF(F26="正常工资薪金",VLOOKUP(D26&amp;"*",个税上月累计情况!E:AL,30,0),0),0)</f>
        <v>0</v>
      </c>
      <c r="BC26" s="90">
        <f>IFERROR(IF(F26="正常工资薪金",VLOOKUP(D26&amp;"*",个税上月累计情况!E:AL,31,0),0),0)</f>
        <v>0</v>
      </c>
      <c r="BD26" s="90">
        <f>IFERROR(IF(F26="正常工资薪金",VLOOKUP(D26&amp;"*",个税上月累计情况!E:AL,32,0),0),0)</f>
        <v>0</v>
      </c>
      <c r="BE26" s="90">
        <f>IFERROR(IF(F26="正常工资薪金",VLOOKUP(D26&amp;"*",个税上月累计情况!E:AL,33,0),0),0)</f>
        <v>0</v>
      </c>
      <c r="BF26" s="90">
        <f>IFERROR(IF(F26="正常工资薪金",VLOOKUP(D26&amp;"*",个税上月累计情况!E:AL,34,0),0),0)</f>
        <v>0</v>
      </c>
      <c r="BG26" s="90">
        <f>IFERROR(IF(F26="正常工资薪金",VLOOKUP(D26&amp;"*",个税上月累计情况!E:AN,35,0),0),0)</f>
        <v>0</v>
      </c>
      <c r="BH26" s="90">
        <f>IFERROR(IF(F26="正常工资薪金",VLOOKUP(D26&amp;"*",个税上月累计情况!E:AN,36,0),0),0)</f>
        <v>0</v>
      </c>
      <c r="BI26" s="90">
        <f>IFERROR(IF(F26="正常工资薪金",VLOOKUP(D26&amp;"*",个税上月累计情况!D:AW,46,0),0),0)</f>
        <v>5722.79</v>
      </c>
      <c r="BJ26" s="90">
        <f>IFERROR(IF(F26="正常工资薪金",VLOOKUP(D26&amp;"*",个税上月累计情况!D:AX,47,0),0),0)</f>
        <v>1374.5</v>
      </c>
      <c r="BK26" t="e">
        <f>VLOOKUP(B26,花名册!C:N,12,0)</f>
        <v>#N/A</v>
      </c>
    </row>
    <row r="27" ht="19.5" hidden="1" spans="1:63">
      <c r="A27" s="87"/>
      <c r="B27" s="87" t="s">
        <v>317</v>
      </c>
      <c r="C27" s="87" t="s">
        <v>268</v>
      </c>
      <c r="D27" s="87" t="s">
        <v>318</v>
      </c>
      <c r="E27" s="87" t="s">
        <v>270</v>
      </c>
      <c r="F27" s="87" t="s">
        <v>271</v>
      </c>
      <c r="G27" s="89" t="e" cm="1">
        <f t="array" ref="G27">_xlfn.IFS(F27="正常工资薪金",VLOOKUP(D27&amp;"*",工资表明细!D:BL,61,0),F27="一般劳务报酬所得",VLOOKUP(D27&amp;"*",工资表明细!D:BJ,59,0),F27="全年一次性奖金收入",VLOOKUP(D27&amp;"*",工资表明细!D:BI,58,0),F27="解除劳动合同一次性补偿金",VLOOKUP(D27&amp;"*",工资表明细!D:BH,57,0))</f>
        <v>#N/A</v>
      </c>
      <c r="H27" s="89">
        <f t="shared" si="0"/>
        <v>0</v>
      </c>
      <c r="I27" s="89">
        <v>0</v>
      </c>
      <c r="J27" s="89">
        <f t="shared" si="1"/>
        <v>5000</v>
      </c>
      <c r="K27" s="89" t="e">
        <f>IF(F27="正常工资薪金",VLOOKUP(D27&amp;"*",工资表明细!D:AP,39,0),0)</f>
        <v>#N/A</v>
      </c>
      <c r="L27" s="89" t="e">
        <f>IF(F27="正常工资薪金",VLOOKUP(D27&amp;"*",工资表明细!D:AQ,40,0),0)</f>
        <v>#N/A</v>
      </c>
      <c r="M27" s="89" t="e">
        <f>IF(F27="正常工资薪金",VLOOKUP(D27&amp;"*",工资表明细!D:AR,41,0),0)</f>
        <v>#N/A</v>
      </c>
      <c r="N27" s="89" t="e">
        <f>IF(F27="正常工资薪金",VLOOKUP(D27&amp;"*",工资表明细!D:AT,43,0),0)</f>
        <v>#N/A</v>
      </c>
      <c r="O27" s="89">
        <v>22</v>
      </c>
      <c r="P27" s="89">
        <v>22</v>
      </c>
      <c r="Q27" s="89">
        <v>22</v>
      </c>
      <c r="R27" s="89">
        <v>22</v>
      </c>
      <c r="S27" s="89">
        <v>22</v>
      </c>
      <c r="T27" s="89">
        <v>22</v>
      </c>
      <c r="U27" s="89">
        <v>22</v>
      </c>
      <c r="V27" s="89">
        <v>22</v>
      </c>
      <c r="W27" s="87" t="s">
        <v>272</v>
      </c>
      <c r="X27" s="89">
        <v>22</v>
      </c>
      <c r="Y27" s="87" t="s">
        <v>272</v>
      </c>
      <c r="Z27" s="87" t="s">
        <v>272</v>
      </c>
      <c r="AA27" s="87" t="s">
        <v>272</v>
      </c>
      <c r="AB27" s="89">
        <v>22</v>
      </c>
      <c r="AC27" s="89" t="e">
        <f t="shared" si="2"/>
        <v>#N/A</v>
      </c>
      <c r="AD27" s="89">
        <f t="shared" si="3"/>
        <v>40000</v>
      </c>
      <c r="AE27" s="89" t="e">
        <f t="shared" si="4"/>
        <v>#N/A</v>
      </c>
      <c r="AF27" s="89">
        <f t="shared" si="5"/>
        <v>0</v>
      </c>
      <c r="AG27" s="89">
        <f t="shared" si="6"/>
        <v>0</v>
      </c>
      <c r="AH27" s="89">
        <f t="shared" si="7"/>
        <v>0</v>
      </c>
      <c r="AI27" s="89">
        <f t="shared" si="8"/>
        <v>0</v>
      </c>
      <c r="AJ27" s="89">
        <f t="shared" si="9"/>
        <v>0</v>
      </c>
      <c r="AK27" s="89">
        <f t="shared" si="10"/>
        <v>0</v>
      </c>
      <c r="AL27" s="89">
        <v>0</v>
      </c>
      <c r="AM27" s="89">
        <v>0</v>
      </c>
      <c r="AN27" s="87" t="s">
        <v>273</v>
      </c>
      <c r="AO27" s="89">
        <v>0</v>
      </c>
      <c r="AP27" s="89" t="e">
        <f t="shared" si="11"/>
        <v>#N/A</v>
      </c>
      <c r="AQ27" s="89" t="e" cm="1">
        <f t="array" ref="AQ27">_xlfn.IFS(F27="正常工资薪金",VLOOKUP(AP27,{0,0.03;36000,0.1;144000,0.2;300000,0.25;420000,0.3;660000,0.35;960000,0.45},2,1),F27="一般劳务报酬所得",IF(AP27&lt;=20000,0.2,IF(AP27&lt;=50000,0.3,0.4)),F27="全年一次性奖金收入",VLOOKUP(AP27/12,{0,0.03;3000,0.1;12000,0.2;25000,0.25;35000,0.3;55000,0.35;80000,0.45},2,1),F27="解除劳动合同一次性补偿金",VLOOKUP(AP27,{0,0.03;36000,0.1;144000,0.2;300000,0.25;420000,0.3;660000,0.35;960000,0.45},2,1))</f>
        <v>#N/A</v>
      </c>
      <c r="AR27" s="89" t="e" cm="1">
        <f t="array" ref="AR27">_xlfn.IFS(F27="正常工资薪金",VLOOKUP(AP27,{0,0;36000,2520;144000,16920;300000,31920;420000,52920;660000,85920;960000,181920},2,1),F27="一般劳务报酬所得",IF(AP27&lt;=20000,0,IF(AS&lt;=50000,2000,7000)),F27="全年一次性奖金收入",VLOOKUP(AP27/12,{0,0;3000,210;12000,1410;25000,2660;35000,4410;55000,7160;80000,15160},2,1),F27="解除劳动合同一次性补偿金",VLOOKUP(AP27,{0,0;36000,2520;144000,16920;300000,31920;420000,52920;660000,85920;960000,181920},2,1))</f>
        <v>#N/A</v>
      </c>
      <c r="AS27" s="89" t="e">
        <f t="shared" si="12"/>
        <v>#N/A</v>
      </c>
      <c r="AT27" s="89">
        <v>0</v>
      </c>
      <c r="AU27" s="89">
        <f t="shared" si="13"/>
        <v>6576.06</v>
      </c>
      <c r="AV27" s="89" t="e">
        <f t="shared" si="14"/>
        <v>#N/A</v>
      </c>
      <c r="AW27" s="87"/>
      <c r="AX27" s="90">
        <f>IFERROR(IF(F27="正常工资薪金",VLOOKUP(D27&amp;"*",个税上月累计情况!E:AL,26,0),0),0)</f>
        <v>139995.64</v>
      </c>
      <c r="AY27" s="90">
        <f>IFERROR(IF(F27="正常工资薪金",VLOOKUP(D27&amp;"*",个税上月累计情况!E:AL,27,0),0),0)</f>
        <v>35000</v>
      </c>
      <c r="AZ27" s="90">
        <f>IFERROR(IF(F27="正常工资薪金",VLOOKUP(D27&amp;"*",个税上月累计情况!E:AL,28,0),0),0)</f>
        <v>14035.07</v>
      </c>
      <c r="BA27" s="90">
        <f>IFERROR(IF(F27="正常工资薪金",VLOOKUP(D27&amp;"*",个税上月累计情况!E:AL,29,0),0),0)</f>
        <v>0</v>
      </c>
      <c r="BB27" s="90">
        <f>IFERROR(IF(F27="正常工资薪金",VLOOKUP(D27&amp;"*",个税上月累计情况!E:AL,30,0),0),0)</f>
        <v>0</v>
      </c>
      <c r="BC27" s="90">
        <f>IFERROR(IF(F27="正常工资薪金",VLOOKUP(D27&amp;"*",个税上月累计情况!E:AL,31,0),0),0)</f>
        <v>0</v>
      </c>
      <c r="BD27" s="90">
        <f>IFERROR(IF(F27="正常工资薪金",VLOOKUP(D27&amp;"*",个税上月累计情况!E:AL,32,0),0),0)</f>
        <v>0</v>
      </c>
      <c r="BE27" s="90">
        <f>IFERROR(IF(F27="正常工资薪金",VLOOKUP(D27&amp;"*",个税上月累计情况!E:AL,33,0),0),0)</f>
        <v>0</v>
      </c>
      <c r="BF27" s="90">
        <f>IFERROR(IF(F27="正常工资薪金",VLOOKUP(D27&amp;"*",个税上月累计情况!E:AL,34,0),0),0)</f>
        <v>0</v>
      </c>
      <c r="BG27" s="90">
        <f>IFERROR(IF(F27="正常工资薪金",VLOOKUP(D27&amp;"*",个税上月累计情况!E:AN,35,0),0),0)</f>
        <v>0</v>
      </c>
      <c r="BH27" s="90">
        <f>IFERROR(IF(F27="正常工资薪金",VLOOKUP(D27&amp;"*",个税上月累计情况!E:AN,36,0),0),0)</f>
        <v>0</v>
      </c>
      <c r="BI27" s="90">
        <f>IFERROR(IF(F27="正常工资薪金",VLOOKUP(D27&amp;"*",个税上月累计情况!D:AW,46,0),0),0)</f>
        <v>5276.56</v>
      </c>
      <c r="BJ27" s="90">
        <f>IFERROR(IF(F27="正常工资薪金",VLOOKUP(D27&amp;"*",个税上月累计情况!D:AX,47,0),0),0)</f>
        <v>1299.5</v>
      </c>
      <c r="BK27" t="e">
        <f>VLOOKUP(B27,花名册!C:N,12,0)</f>
        <v>#N/A</v>
      </c>
    </row>
    <row r="28" ht="19.5" hidden="1" spans="1:63">
      <c r="A28" s="87"/>
      <c r="B28" s="87" t="s">
        <v>319</v>
      </c>
      <c r="C28" s="87" t="s">
        <v>268</v>
      </c>
      <c r="D28" s="87" t="s">
        <v>320</v>
      </c>
      <c r="E28" s="87" t="s">
        <v>270</v>
      </c>
      <c r="F28" s="87" t="s">
        <v>271</v>
      </c>
      <c r="G28" s="89" t="e" cm="1">
        <f t="array" ref="G28">_xlfn.IFS(F28="正常工资薪金",VLOOKUP(D28&amp;"*",工资表明细!D:BL,61,0),F28="一般劳务报酬所得",VLOOKUP(D28&amp;"*",工资表明细!D:BJ,59,0),F28="全年一次性奖金收入",VLOOKUP(D28&amp;"*",工资表明细!D:BI,58,0),F28="解除劳动合同一次性补偿金",VLOOKUP(D28&amp;"*",工资表明细!D:BH,57,0))</f>
        <v>#N/A</v>
      </c>
      <c r="H28" s="89">
        <f t="shared" si="0"/>
        <v>0</v>
      </c>
      <c r="I28" s="89">
        <v>0</v>
      </c>
      <c r="J28" s="89">
        <f t="shared" si="1"/>
        <v>5000</v>
      </c>
      <c r="K28" s="89" t="e">
        <f>IF(F28="正常工资薪金",VLOOKUP(D28&amp;"*",工资表明细!D:AP,39,0),0)</f>
        <v>#N/A</v>
      </c>
      <c r="L28" s="89" t="e">
        <f>IF(F28="正常工资薪金",VLOOKUP(D28&amp;"*",工资表明细!D:AQ,40,0),0)</f>
        <v>#N/A</v>
      </c>
      <c r="M28" s="89" t="e">
        <f>IF(F28="正常工资薪金",VLOOKUP(D28&amp;"*",工资表明细!D:AR,41,0),0)</f>
        <v>#N/A</v>
      </c>
      <c r="N28" s="89" t="e">
        <f>IF(F28="正常工资薪金",VLOOKUP(D28&amp;"*",工资表明细!D:AT,43,0),0)</f>
        <v>#N/A</v>
      </c>
      <c r="O28" s="89">
        <v>23</v>
      </c>
      <c r="P28" s="89">
        <v>23</v>
      </c>
      <c r="Q28" s="89">
        <v>23</v>
      </c>
      <c r="R28" s="89">
        <v>23</v>
      </c>
      <c r="S28" s="89">
        <v>23</v>
      </c>
      <c r="T28" s="89">
        <v>23</v>
      </c>
      <c r="U28" s="89">
        <v>23</v>
      </c>
      <c r="V28" s="89">
        <v>23</v>
      </c>
      <c r="W28" s="87" t="s">
        <v>272</v>
      </c>
      <c r="X28" s="89">
        <v>23</v>
      </c>
      <c r="Y28" s="87" t="s">
        <v>272</v>
      </c>
      <c r="Z28" s="87" t="s">
        <v>272</v>
      </c>
      <c r="AA28" s="87" t="s">
        <v>272</v>
      </c>
      <c r="AB28" s="89">
        <v>23</v>
      </c>
      <c r="AC28" s="89" t="e">
        <f t="shared" si="2"/>
        <v>#N/A</v>
      </c>
      <c r="AD28" s="89">
        <f t="shared" si="3"/>
        <v>40000</v>
      </c>
      <c r="AE28" s="89" t="e">
        <f t="shared" si="4"/>
        <v>#N/A</v>
      </c>
      <c r="AF28" s="89">
        <f t="shared" si="5"/>
        <v>0</v>
      </c>
      <c r="AG28" s="89">
        <f t="shared" si="6"/>
        <v>0</v>
      </c>
      <c r="AH28" s="89">
        <f t="shared" si="7"/>
        <v>0</v>
      </c>
      <c r="AI28" s="89">
        <f t="shared" si="8"/>
        <v>0</v>
      </c>
      <c r="AJ28" s="89">
        <f t="shared" si="9"/>
        <v>0</v>
      </c>
      <c r="AK28" s="89">
        <f t="shared" si="10"/>
        <v>0</v>
      </c>
      <c r="AL28" s="89">
        <v>0</v>
      </c>
      <c r="AM28" s="89">
        <v>0</v>
      </c>
      <c r="AN28" s="87" t="s">
        <v>273</v>
      </c>
      <c r="AO28" s="89">
        <v>0</v>
      </c>
      <c r="AP28" s="89" t="e">
        <f t="shared" si="11"/>
        <v>#N/A</v>
      </c>
      <c r="AQ28" s="89" t="e" cm="1">
        <f t="array" ref="AQ28">_xlfn.IFS(F28="正常工资薪金",VLOOKUP(AP28,{0,0.03;36000,0.1;144000,0.2;300000,0.25;420000,0.3;660000,0.35;960000,0.45},2,1),F28="一般劳务报酬所得",IF(AP28&lt;=20000,0.2,IF(AP28&lt;=50000,0.3,0.4)),F28="全年一次性奖金收入",VLOOKUP(AP28/12,{0,0.03;3000,0.1;12000,0.2;25000,0.25;35000,0.3;55000,0.35;80000,0.45},2,1),F28="解除劳动合同一次性补偿金",VLOOKUP(AP28,{0,0.03;36000,0.1;144000,0.2;300000,0.25;420000,0.3;660000,0.35;960000,0.45},2,1))</f>
        <v>#N/A</v>
      </c>
      <c r="AR28" s="89" t="e" cm="1">
        <f t="array" ref="AR28">_xlfn.IFS(F28="正常工资薪金",VLOOKUP(AP28,{0,0;36000,2520;144000,16920;300000,31920;420000,52920;660000,85920;960000,181920},2,1),F28="一般劳务报酬所得",IF(AP28&lt;=20000,0,IF(AS&lt;=50000,2000,7000)),F28="全年一次性奖金收入",VLOOKUP(AP28/12,{0,0;3000,210;12000,1410;25000,2660;35000,4410;55000,7160;80000,15160},2,1),F28="解除劳动合同一次性补偿金",VLOOKUP(AP28,{0,0;36000,2520;144000,16920;300000,31920;420000,52920;660000,85920;960000,181920},2,1))</f>
        <v>#N/A</v>
      </c>
      <c r="AS28" s="89" t="e">
        <f t="shared" si="12"/>
        <v>#N/A</v>
      </c>
      <c r="AT28" s="89">
        <v>0</v>
      </c>
      <c r="AU28" s="89">
        <f t="shared" si="13"/>
        <v>2954.71</v>
      </c>
      <c r="AV28" s="89" t="e">
        <f t="shared" si="14"/>
        <v>#N/A</v>
      </c>
      <c r="AW28" s="87"/>
      <c r="AX28" s="90">
        <f>IFERROR(IF(F28="正常工资薪金",VLOOKUP(D28&amp;"*",个税上月累计情况!E:AL,26,0),0),0)</f>
        <v>101078.25</v>
      </c>
      <c r="AY28" s="90">
        <f>IFERROR(IF(F28="正常工资薪金",VLOOKUP(D28&amp;"*",个税上月累计情况!E:AL,27,0),0),0)</f>
        <v>35000</v>
      </c>
      <c r="AZ28" s="90">
        <f>IFERROR(IF(F28="正常工资薪金",VLOOKUP(D28&amp;"*",个税上月累计情况!E:AL,28,0),0),0)</f>
        <v>11331.18</v>
      </c>
      <c r="BA28" s="90">
        <f>IFERROR(IF(F28="正常工资薪金",VLOOKUP(D28&amp;"*",个税上月累计情况!E:AL,29,0),0),0)</f>
        <v>0</v>
      </c>
      <c r="BB28" s="90">
        <f>IFERROR(IF(F28="正常工资薪金",VLOOKUP(D28&amp;"*",个税上月累计情况!E:AL,30,0),0),0)</f>
        <v>0</v>
      </c>
      <c r="BC28" s="90">
        <f>IFERROR(IF(F28="正常工资薪金",VLOOKUP(D28&amp;"*",个税上月累计情况!E:AL,31,0),0),0)</f>
        <v>0</v>
      </c>
      <c r="BD28" s="90">
        <f>IFERROR(IF(F28="正常工资薪金",VLOOKUP(D28&amp;"*",个税上月累计情况!E:AL,32,0),0),0)</f>
        <v>0</v>
      </c>
      <c r="BE28" s="90">
        <f>IFERROR(IF(F28="正常工资薪金",VLOOKUP(D28&amp;"*",个税上月累计情况!E:AL,33,0),0),0)</f>
        <v>0</v>
      </c>
      <c r="BF28" s="90">
        <f>IFERROR(IF(F28="正常工资薪金",VLOOKUP(D28&amp;"*",个税上月累计情况!E:AL,34,0),0),0)</f>
        <v>0</v>
      </c>
      <c r="BG28" s="90">
        <f>IFERROR(IF(F28="正常工资薪金",VLOOKUP(D28&amp;"*",个税上月累计情况!E:AN,35,0),0),0)</f>
        <v>0</v>
      </c>
      <c r="BH28" s="90">
        <f>IFERROR(IF(F28="正常工资薪金",VLOOKUP(D28&amp;"*",个税上月累计情况!E:AN,36,0),0),0)</f>
        <v>0</v>
      </c>
      <c r="BI28" s="90">
        <f>IFERROR(IF(F28="正常工资薪金",VLOOKUP(D28&amp;"*",个税上月累计情况!D:AW,46,0),0),0)</f>
        <v>2157.06</v>
      </c>
      <c r="BJ28" s="90">
        <f>IFERROR(IF(F28="正常工资薪金",VLOOKUP(D28&amp;"*",个税上月累计情况!D:AX,47,0),0),0)</f>
        <v>797.65</v>
      </c>
      <c r="BK28" t="e">
        <f>VLOOKUP(B28,花名册!C:N,12,0)</f>
        <v>#N/A</v>
      </c>
    </row>
    <row r="29" ht="19.5" hidden="1" spans="1:63">
      <c r="A29" s="87"/>
      <c r="B29" s="87" t="s">
        <v>321</v>
      </c>
      <c r="C29" s="87" t="s">
        <v>268</v>
      </c>
      <c r="D29" s="87" t="s">
        <v>322</v>
      </c>
      <c r="E29" s="87" t="s">
        <v>270</v>
      </c>
      <c r="F29" s="87" t="s">
        <v>271</v>
      </c>
      <c r="G29" s="89" t="e" cm="1">
        <f t="array" ref="G29">_xlfn.IFS(F29="正常工资薪金",VLOOKUP(D29&amp;"*",工资表明细!D:BL,61,0),F29="一般劳务报酬所得",VLOOKUP(D29&amp;"*",工资表明细!D:BJ,59,0),F29="全年一次性奖金收入",VLOOKUP(D29&amp;"*",工资表明细!D:BI,58,0),F29="解除劳动合同一次性补偿金",VLOOKUP(D29&amp;"*",工资表明细!D:BH,57,0))</f>
        <v>#N/A</v>
      </c>
      <c r="H29" s="89">
        <f t="shared" si="0"/>
        <v>0</v>
      </c>
      <c r="I29" s="89">
        <v>3695.01</v>
      </c>
      <c r="J29" s="89">
        <f t="shared" si="1"/>
        <v>5000</v>
      </c>
      <c r="K29" s="89" t="e">
        <f>IF(F29="正常工资薪金",VLOOKUP(D29&amp;"*",工资表明细!D:AP,39,0),0)</f>
        <v>#N/A</v>
      </c>
      <c r="L29" s="89" t="e">
        <f>IF(F29="正常工资薪金",VLOOKUP(D29&amp;"*",工资表明细!D:AQ,40,0),0)</f>
        <v>#N/A</v>
      </c>
      <c r="M29" s="89" t="e">
        <f>IF(F29="正常工资薪金",VLOOKUP(D29&amp;"*",工资表明细!D:AR,41,0),0)</f>
        <v>#N/A</v>
      </c>
      <c r="N29" s="89" t="e">
        <f>IF(F29="正常工资薪金",VLOOKUP(D29&amp;"*",工资表明细!D:AT,43,0),0)</f>
        <v>#N/A</v>
      </c>
      <c r="O29" s="89">
        <v>24</v>
      </c>
      <c r="P29" s="89">
        <v>24</v>
      </c>
      <c r="Q29" s="89">
        <v>24</v>
      </c>
      <c r="R29" s="89">
        <v>24</v>
      </c>
      <c r="S29" s="89">
        <v>24</v>
      </c>
      <c r="T29" s="89">
        <v>24</v>
      </c>
      <c r="U29" s="89">
        <v>24</v>
      </c>
      <c r="V29" s="89">
        <v>24</v>
      </c>
      <c r="W29" s="87" t="s">
        <v>272</v>
      </c>
      <c r="X29" s="89">
        <v>24</v>
      </c>
      <c r="Y29" s="87" t="s">
        <v>272</v>
      </c>
      <c r="Z29" s="87" t="s">
        <v>272</v>
      </c>
      <c r="AA29" s="87" t="s">
        <v>272</v>
      </c>
      <c r="AB29" s="89">
        <v>24</v>
      </c>
      <c r="AC29" s="89" t="e">
        <f t="shared" si="2"/>
        <v>#N/A</v>
      </c>
      <c r="AD29" s="89">
        <f t="shared" si="3"/>
        <v>40000</v>
      </c>
      <c r="AE29" s="89" t="e">
        <f t="shared" si="4"/>
        <v>#N/A</v>
      </c>
      <c r="AF29" s="89">
        <f t="shared" si="5"/>
        <v>0</v>
      </c>
      <c r="AG29" s="89">
        <f t="shared" si="6"/>
        <v>0</v>
      </c>
      <c r="AH29" s="89">
        <f t="shared" si="7"/>
        <v>0</v>
      </c>
      <c r="AI29" s="89">
        <f t="shared" si="8"/>
        <v>0</v>
      </c>
      <c r="AJ29" s="89">
        <f t="shared" si="9"/>
        <v>0</v>
      </c>
      <c r="AK29" s="89">
        <f t="shared" si="10"/>
        <v>0</v>
      </c>
      <c r="AL29" s="89">
        <v>0</v>
      </c>
      <c r="AM29" s="89">
        <v>0</v>
      </c>
      <c r="AN29" s="87" t="s">
        <v>273</v>
      </c>
      <c r="AO29" s="89">
        <v>0</v>
      </c>
      <c r="AP29" s="89" t="e">
        <f t="shared" si="11"/>
        <v>#N/A</v>
      </c>
      <c r="AQ29" s="89" t="e" cm="1">
        <f t="array" ref="AQ29">_xlfn.IFS(F29="正常工资薪金",VLOOKUP(AP29,{0,0.03;36000,0.1;144000,0.2;300000,0.25;420000,0.3;660000,0.35;960000,0.45},2,1),F29="一般劳务报酬所得",IF(AP29&lt;=20000,0.2,IF(AP29&lt;=50000,0.3,0.4)),F29="全年一次性奖金收入",VLOOKUP(AP29/12,{0,0.03;3000,0.1;12000,0.2;25000,0.25;35000,0.3;55000,0.35;80000,0.45},2,1),F29="解除劳动合同一次性补偿金",VLOOKUP(AP29,{0,0.03;36000,0.1;144000,0.2;300000,0.25;420000,0.3;660000,0.35;960000,0.45},2,1))</f>
        <v>#N/A</v>
      </c>
      <c r="AR29" s="89" t="e" cm="1">
        <f t="array" ref="AR29">_xlfn.IFS(F29="正常工资薪金",VLOOKUP(AP29,{0,0;36000,2520;144000,16920;300000,31920;420000,52920;660000,85920;960000,181920},2,1),F29="一般劳务报酬所得",IF(AP29&lt;=20000,0,IF(AS&lt;=50000,2000,7000)),F29="全年一次性奖金收入",VLOOKUP(AP29/12,{0,0;3000,210;12000,1410;25000,2660;35000,4410;55000,7160;80000,15160},2,1),F29="解除劳动合同一次性补偿金",VLOOKUP(AP29,{0,0;36000,2520;144000,16920;300000,31920;420000,52920;660000,85920;960000,181920},2,1))</f>
        <v>#N/A</v>
      </c>
      <c r="AS29" s="89" t="e">
        <f t="shared" si="12"/>
        <v>#N/A</v>
      </c>
      <c r="AT29" s="89">
        <v>0</v>
      </c>
      <c r="AU29" s="89">
        <f t="shared" si="13"/>
        <v>374.48</v>
      </c>
      <c r="AV29" s="89" t="e">
        <f t="shared" si="14"/>
        <v>#N/A</v>
      </c>
      <c r="AW29" s="87"/>
      <c r="AX29" s="90">
        <f>IFERROR(IF(F29="正常工资薪金",VLOOKUP(D29&amp;"*",个税上月累计情况!E:AL,26,0),0),0)</f>
        <v>55567.76</v>
      </c>
      <c r="AY29" s="90">
        <f>IFERROR(IF(F29="正常工资薪金",VLOOKUP(D29&amp;"*",个税上月累计情况!E:AL,27,0),0),0)</f>
        <v>35000</v>
      </c>
      <c r="AZ29" s="90">
        <f>IFERROR(IF(F29="正常工资薪金",VLOOKUP(D29&amp;"*",个税上月累计情况!E:AL,28,0),0),0)</f>
        <v>8085.07</v>
      </c>
      <c r="BA29" s="90">
        <f>IFERROR(IF(F29="正常工资薪金",VLOOKUP(D29&amp;"*",个税上月累计情况!E:AL,29,0),0),0)</f>
        <v>0</v>
      </c>
      <c r="BB29" s="90">
        <f>IFERROR(IF(F29="正常工资薪金",VLOOKUP(D29&amp;"*",个税上月累计情况!E:AL,30,0),0),0)</f>
        <v>0</v>
      </c>
      <c r="BC29" s="90">
        <f>IFERROR(IF(F29="正常工资薪金",VLOOKUP(D29&amp;"*",个税上月累计情况!E:AL,31,0),0),0)</f>
        <v>0</v>
      </c>
      <c r="BD29" s="90">
        <f>IFERROR(IF(F29="正常工资薪金",VLOOKUP(D29&amp;"*",个税上月累计情况!E:AL,32,0),0),0)</f>
        <v>0</v>
      </c>
      <c r="BE29" s="90">
        <f>IFERROR(IF(F29="正常工资薪金",VLOOKUP(D29&amp;"*",个税上月累计情况!E:AL,33,0),0),0)</f>
        <v>0</v>
      </c>
      <c r="BF29" s="90">
        <f>IFERROR(IF(F29="正常工资薪金",VLOOKUP(D29&amp;"*",个税上月累计情况!E:AL,34,0),0),0)</f>
        <v>0</v>
      </c>
      <c r="BG29" s="90">
        <f>IFERROR(IF(F29="正常工资薪金",VLOOKUP(D29&amp;"*",个税上月累计情况!E:AN,35,0),0),0)</f>
        <v>0</v>
      </c>
      <c r="BH29" s="90">
        <f>IFERROR(IF(F29="正常工资薪金",VLOOKUP(D29&amp;"*",个税上月累计情况!E:AN,36,0),0),0)</f>
        <v>0</v>
      </c>
      <c r="BI29" s="90">
        <f>IFERROR(IF(F29="正常工资薪金",VLOOKUP(D29&amp;"*",个税上月累计情况!D:AW,46,0),0),0)</f>
        <v>319.13</v>
      </c>
      <c r="BJ29" s="90">
        <f>IFERROR(IF(F29="正常工资薪金",VLOOKUP(D29&amp;"*",个税上月累计情况!D:AX,47,0),0),0)</f>
        <v>55.35</v>
      </c>
      <c r="BK29" t="e">
        <f>VLOOKUP(B29,花名册!C:N,12,0)</f>
        <v>#N/A</v>
      </c>
    </row>
    <row r="30" ht="19.5" hidden="1" spans="1:63">
      <c r="A30" s="87"/>
      <c r="B30" s="87" t="s">
        <v>323</v>
      </c>
      <c r="C30" s="87" t="s">
        <v>268</v>
      </c>
      <c r="D30" s="87" t="s">
        <v>324</v>
      </c>
      <c r="E30" s="87" t="s">
        <v>270</v>
      </c>
      <c r="F30" s="87" t="s">
        <v>271</v>
      </c>
      <c r="G30" s="89" t="e" cm="1">
        <f t="array" ref="G30">_xlfn.IFS(F30="正常工资薪金",VLOOKUP(D30&amp;"*",工资表明细!D:BL,61,0),F30="一般劳务报酬所得",VLOOKUP(D30&amp;"*",工资表明细!D:BJ,59,0),F30="全年一次性奖金收入",VLOOKUP(D30&amp;"*",工资表明细!D:BI,58,0),F30="解除劳动合同一次性补偿金",VLOOKUP(D30&amp;"*",工资表明细!D:BH,57,0))</f>
        <v>#N/A</v>
      </c>
      <c r="H30" s="89">
        <f t="shared" si="0"/>
        <v>0</v>
      </c>
      <c r="I30" s="89">
        <v>0</v>
      </c>
      <c r="J30" s="89">
        <f t="shared" si="1"/>
        <v>5000</v>
      </c>
      <c r="K30" s="89" t="e">
        <f>IF(F30="正常工资薪金",VLOOKUP(D30&amp;"*",工资表明细!D:AP,39,0),0)</f>
        <v>#N/A</v>
      </c>
      <c r="L30" s="89" t="e">
        <f>IF(F30="正常工资薪金",VLOOKUP(D30&amp;"*",工资表明细!D:AQ,40,0),0)</f>
        <v>#N/A</v>
      </c>
      <c r="M30" s="89" t="e">
        <f>IF(F30="正常工资薪金",VLOOKUP(D30&amp;"*",工资表明细!D:AR,41,0),0)</f>
        <v>#N/A</v>
      </c>
      <c r="N30" s="89" t="e">
        <f>IF(F30="正常工资薪金",VLOOKUP(D30&amp;"*",工资表明细!D:AT,43,0),0)</f>
        <v>#N/A</v>
      </c>
      <c r="O30" s="89">
        <v>25</v>
      </c>
      <c r="P30" s="89">
        <v>25</v>
      </c>
      <c r="Q30" s="89">
        <v>25</v>
      </c>
      <c r="R30" s="89">
        <v>25</v>
      </c>
      <c r="S30" s="89">
        <v>25</v>
      </c>
      <c r="T30" s="89">
        <v>25</v>
      </c>
      <c r="U30" s="89">
        <v>25</v>
      </c>
      <c r="V30" s="89">
        <v>25</v>
      </c>
      <c r="W30" s="87" t="s">
        <v>272</v>
      </c>
      <c r="X30" s="89">
        <v>25</v>
      </c>
      <c r="Y30" s="87" t="s">
        <v>272</v>
      </c>
      <c r="Z30" s="87" t="s">
        <v>272</v>
      </c>
      <c r="AA30" s="87" t="s">
        <v>272</v>
      </c>
      <c r="AB30" s="89">
        <v>25</v>
      </c>
      <c r="AC30" s="89" t="e">
        <f t="shared" si="2"/>
        <v>#N/A</v>
      </c>
      <c r="AD30" s="89">
        <f t="shared" si="3"/>
        <v>40000</v>
      </c>
      <c r="AE30" s="89" t="e">
        <f t="shared" si="4"/>
        <v>#N/A</v>
      </c>
      <c r="AF30" s="89">
        <f t="shared" si="5"/>
        <v>0</v>
      </c>
      <c r="AG30" s="89">
        <f t="shared" si="6"/>
        <v>0</v>
      </c>
      <c r="AH30" s="89">
        <f t="shared" si="7"/>
        <v>0</v>
      </c>
      <c r="AI30" s="89">
        <f t="shared" si="8"/>
        <v>0</v>
      </c>
      <c r="AJ30" s="89">
        <f t="shared" si="9"/>
        <v>0</v>
      </c>
      <c r="AK30" s="89">
        <f t="shared" si="10"/>
        <v>0</v>
      </c>
      <c r="AL30" s="89">
        <v>0</v>
      </c>
      <c r="AM30" s="89">
        <v>0</v>
      </c>
      <c r="AN30" s="87" t="s">
        <v>273</v>
      </c>
      <c r="AO30" s="89">
        <v>0</v>
      </c>
      <c r="AP30" s="89" t="e">
        <f t="shared" si="11"/>
        <v>#N/A</v>
      </c>
      <c r="AQ30" s="89" t="e" cm="1">
        <f t="array" ref="AQ30">_xlfn.IFS(F30="正常工资薪金",VLOOKUP(AP30,{0,0.03;36000,0.1;144000,0.2;300000,0.25;420000,0.3;660000,0.35;960000,0.45},2,1),F30="一般劳务报酬所得",IF(AP30&lt;=20000,0.2,IF(AP30&lt;=50000,0.3,0.4)),F30="全年一次性奖金收入",VLOOKUP(AP30/12,{0,0.03;3000,0.1;12000,0.2;25000,0.25;35000,0.3;55000,0.35;80000,0.45},2,1),F30="解除劳动合同一次性补偿金",VLOOKUP(AP30,{0,0.03;36000,0.1;144000,0.2;300000,0.25;420000,0.3;660000,0.35;960000,0.45},2,1))</f>
        <v>#N/A</v>
      </c>
      <c r="AR30" s="89" t="e" cm="1">
        <f t="array" ref="AR30">_xlfn.IFS(F30="正常工资薪金",VLOOKUP(AP30,{0,0;36000,2520;144000,16920;300000,31920;420000,52920;660000,85920;960000,181920},2,1),F30="一般劳务报酬所得",IF(AP30&lt;=20000,0,IF(AS&lt;=50000,2000,7000)),F30="全年一次性奖金收入",VLOOKUP(AP30/12,{0,0;3000,210;12000,1410;25000,2660;35000,4410;55000,7160;80000,15160},2,1),F30="解除劳动合同一次性补偿金",VLOOKUP(AP30,{0,0;36000,2520;144000,16920;300000,31920;420000,52920;660000,85920;960000,181920},2,1))</f>
        <v>#N/A</v>
      </c>
      <c r="AS30" s="89" t="e">
        <f t="shared" si="12"/>
        <v>#N/A</v>
      </c>
      <c r="AT30" s="89">
        <v>0</v>
      </c>
      <c r="AU30" s="89">
        <f t="shared" si="13"/>
        <v>716.5</v>
      </c>
      <c r="AV30" s="89" t="e">
        <f t="shared" si="14"/>
        <v>#N/A</v>
      </c>
      <c r="AW30" s="87"/>
      <c r="AX30" s="90">
        <f>IFERROR(IF(F30="正常工资薪金",VLOOKUP(D30&amp;"*",个税上月累计情况!E:AL,26,0),0),0)</f>
        <v>67528.27</v>
      </c>
      <c r="AY30" s="90">
        <f>IFERROR(IF(F30="正常工资薪金",VLOOKUP(D30&amp;"*",个税上月累计情况!E:AL,27,0),0),0)</f>
        <v>35000</v>
      </c>
      <c r="AZ30" s="90">
        <f>IFERROR(IF(F30="正常工资薪金",VLOOKUP(D30&amp;"*",个税上月累计情况!E:AL,28,0),0),0)</f>
        <v>8645.07</v>
      </c>
      <c r="BA30" s="90">
        <f>IFERROR(IF(F30="正常工资薪金",VLOOKUP(D30&amp;"*",个税上月累计情况!E:AL,29,0),0),0)</f>
        <v>0</v>
      </c>
      <c r="BB30" s="90">
        <f>IFERROR(IF(F30="正常工资薪金",VLOOKUP(D30&amp;"*",个税上月累计情况!E:AL,30,0),0),0)</f>
        <v>0</v>
      </c>
      <c r="BC30" s="90">
        <f>IFERROR(IF(F30="正常工资薪金",VLOOKUP(D30&amp;"*",个税上月累计情况!E:AL,31,0),0),0)</f>
        <v>0</v>
      </c>
      <c r="BD30" s="90">
        <f>IFERROR(IF(F30="正常工资薪金",VLOOKUP(D30&amp;"*",个税上月累计情况!E:AL,32,0),0),0)</f>
        <v>0</v>
      </c>
      <c r="BE30" s="90">
        <f>IFERROR(IF(F30="正常工资薪金",VLOOKUP(D30&amp;"*",个税上月累计情况!E:AL,33,0),0),0)</f>
        <v>0</v>
      </c>
      <c r="BF30" s="90">
        <f>IFERROR(IF(F30="正常工资薪金",VLOOKUP(D30&amp;"*",个税上月累计情况!E:AL,34,0),0),0)</f>
        <v>0</v>
      </c>
      <c r="BG30" s="90">
        <f>IFERROR(IF(F30="正常工资薪金",VLOOKUP(D30&amp;"*",个税上月累计情况!E:AN,35,0),0),0)</f>
        <v>0</v>
      </c>
      <c r="BH30" s="90">
        <f>IFERROR(IF(F30="正常工资薪金",VLOOKUP(D30&amp;"*",个税上月累计情况!E:AN,36,0),0),0)</f>
        <v>0</v>
      </c>
      <c r="BI30" s="90">
        <f>IFERROR(IF(F30="正常工资薪金",VLOOKUP(D30&amp;"*",个税上月累计情况!D:AW,46,0),0),0)</f>
        <v>614.05</v>
      </c>
      <c r="BJ30" s="90">
        <f>IFERROR(IF(F30="正常工资薪金",VLOOKUP(D30&amp;"*",个税上月累计情况!D:AX,47,0),0),0)</f>
        <v>102.45</v>
      </c>
      <c r="BK30" t="e">
        <f>VLOOKUP(B30,花名册!C:N,12,0)</f>
        <v>#N/A</v>
      </c>
    </row>
    <row r="31" ht="19.5" hidden="1" spans="1:63">
      <c r="A31" s="87"/>
      <c r="B31" s="87" t="s">
        <v>325</v>
      </c>
      <c r="C31" s="87" t="s">
        <v>268</v>
      </c>
      <c r="D31" s="87" t="s">
        <v>326</v>
      </c>
      <c r="E31" s="87" t="s">
        <v>270</v>
      </c>
      <c r="F31" s="87" t="s">
        <v>271</v>
      </c>
      <c r="G31" s="89" t="e" cm="1">
        <f t="array" ref="G31">_xlfn.IFS(F31="正常工资薪金",VLOOKUP(D31&amp;"*",工资表明细!D:BL,61,0),F31="一般劳务报酬所得",VLOOKUP(D31&amp;"*",工资表明细!D:BJ,59,0),F31="全年一次性奖金收入",VLOOKUP(D31&amp;"*",工资表明细!D:BI,58,0),F31="解除劳动合同一次性补偿金",VLOOKUP(D31&amp;"*",工资表明细!D:BH,57,0))</f>
        <v>#N/A</v>
      </c>
      <c r="H31" s="89">
        <f t="shared" si="0"/>
        <v>0</v>
      </c>
      <c r="I31" s="89">
        <v>0</v>
      </c>
      <c r="J31" s="89">
        <f t="shared" si="1"/>
        <v>5000</v>
      </c>
      <c r="K31" s="89" t="e">
        <f>IF(F31="正常工资薪金",VLOOKUP(D31&amp;"*",工资表明细!D:AP,39,0),0)</f>
        <v>#N/A</v>
      </c>
      <c r="L31" s="89" t="e">
        <f>IF(F31="正常工资薪金",VLOOKUP(D31&amp;"*",工资表明细!D:AQ,40,0),0)</f>
        <v>#N/A</v>
      </c>
      <c r="M31" s="89" t="e">
        <f>IF(F31="正常工资薪金",VLOOKUP(D31&amp;"*",工资表明细!D:AR,41,0),0)</f>
        <v>#N/A</v>
      </c>
      <c r="N31" s="89" t="e">
        <f>IF(F31="正常工资薪金",VLOOKUP(D31&amp;"*",工资表明细!D:AT,43,0),0)</f>
        <v>#N/A</v>
      </c>
      <c r="O31" s="89">
        <v>26</v>
      </c>
      <c r="P31" s="89">
        <v>26</v>
      </c>
      <c r="Q31" s="89">
        <v>26</v>
      </c>
      <c r="R31" s="89">
        <v>26</v>
      </c>
      <c r="S31" s="89">
        <v>26</v>
      </c>
      <c r="T31" s="89">
        <v>26</v>
      </c>
      <c r="U31" s="89">
        <v>26</v>
      </c>
      <c r="V31" s="89">
        <v>26</v>
      </c>
      <c r="W31" s="87" t="s">
        <v>272</v>
      </c>
      <c r="X31" s="89">
        <v>26</v>
      </c>
      <c r="Y31" s="87" t="s">
        <v>272</v>
      </c>
      <c r="Z31" s="87" t="s">
        <v>272</v>
      </c>
      <c r="AA31" s="87" t="s">
        <v>272</v>
      </c>
      <c r="AB31" s="89">
        <v>26</v>
      </c>
      <c r="AC31" s="89" t="e">
        <f t="shared" si="2"/>
        <v>#N/A</v>
      </c>
      <c r="AD31" s="89">
        <f t="shared" si="3"/>
        <v>40000</v>
      </c>
      <c r="AE31" s="89" t="e">
        <f t="shared" si="4"/>
        <v>#N/A</v>
      </c>
      <c r="AF31" s="89">
        <f t="shared" si="5"/>
        <v>0</v>
      </c>
      <c r="AG31" s="89">
        <f t="shared" si="6"/>
        <v>0</v>
      </c>
      <c r="AH31" s="89">
        <f t="shared" si="7"/>
        <v>0</v>
      </c>
      <c r="AI31" s="89">
        <f t="shared" si="8"/>
        <v>0</v>
      </c>
      <c r="AJ31" s="89">
        <f t="shared" si="9"/>
        <v>0</v>
      </c>
      <c r="AK31" s="89">
        <f t="shared" si="10"/>
        <v>0</v>
      </c>
      <c r="AL31" s="89">
        <v>0</v>
      </c>
      <c r="AM31" s="89">
        <v>0</v>
      </c>
      <c r="AN31" s="87" t="s">
        <v>273</v>
      </c>
      <c r="AO31" s="89">
        <v>0</v>
      </c>
      <c r="AP31" s="89" t="e">
        <f t="shared" si="11"/>
        <v>#N/A</v>
      </c>
      <c r="AQ31" s="89" t="e" cm="1">
        <f t="array" ref="AQ31">_xlfn.IFS(F31="正常工资薪金",VLOOKUP(AP31,{0,0.03;36000,0.1;144000,0.2;300000,0.25;420000,0.3;660000,0.35;960000,0.45},2,1),F31="一般劳务报酬所得",IF(AP31&lt;=20000,0.2,IF(AP31&lt;=50000,0.3,0.4)),F31="全年一次性奖金收入",VLOOKUP(AP31/12,{0,0.03;3000,0.1;12000,0.2;25000,0.25;35000,0.3;55000,0.35;80000,0.45},2,1),F31="解除劳动合同一次性补偿金",VLOOKUP(AP31,{0,0.03;36000,0.1;144000,0.2;300000,0.25;420000,0.3;660000,0.35;960000,0.45},2,1))</f>
        <v>#N/A</v>
      </c>
      <c r="AR31" s="89" t="e" cm="1">
        <f t="array" ref="AR31">_xlfn.IFS(F31="正常工资薪金",VLOOKUP(AP31,{0,0;36000,2520;144000,16920;300000,31920;420000,52920;660000,85920;960000,181920},2,1),F31="一般劳务报酬所得",IF(AP31&lt;=20000,0,IF(AS&lt;=50000,2000,7000)),F31="全年一次性奖金收入",VLOOKUP(AP31/12,{0,0;3000,210;12000,1410;25000,2660;35000,4410;55000,7160;80000,15160},2,1),F31="解除劳动合同一次性补偿金",VLOOKUP(AP31,{0,0;36000,2520;144000,16920;300000,31920;420000,52920;660000,85920;960000,181920},2,1))</f>
        <v>#N/A</v>
      </c>
      <c r="AS31" s="89" t="e">
        <f t="shared" si="12"/>
        <v>#N/A</v>
      </c>
      <c r="AT31" s="89">
        <v>0</v>
      </c>
      <c r="AU31" s="89">
        <f t="shared" si="13"/>
        <v>3535.88</v>
      </c>
      <c r="AV31" s="89" t="e">
        <f t="shared" si="14"/>
        <v>#N/A</v>
      </c>
      <c r="AW31" s="87"/>
      <c r="AX31" s="90">
        <f>IFERROR(IF(F31="正常工资薪金",VLOOKUP(D31&amp;"*",个税上月累计情况!E:AL,26,0),0),0)</f>
        <v>106163.86</v>
      </c>
      <c r="AY31" s="90">
        <f>IFERROR(IF(F31="正常工资薪金",VLOOKUP(D31&amp;"*",个税上月累计情况!E:AL,27,0),0),0)</f>
        <v>35000</v>
      </c>
      <c r="AZ31" s="90">
        <f>IFERROR(IF(F31="正常工资薪金",VLOOKUP(D31&amp;"*",个税上月累计情况!E:AL,28,0),0),0)</f>
        <v>10605.07</v>
      </c>
      <c r="BA31" s="90">
        <f>IFERROR(IF(F31="正常工资薪金",VLOOKUP(D31&amp;"*",个税上月累计情况!E:AL,29,0),0),0)</f>
        <v>0</v>
      </c>
      <c r="BB31" s="90">
        <f>IFERROR(IF(F31="正常工资薪金",VLOOKUP(D31&amp;"*",个税上月累计情况!E:AL,30,0),0),0)</f>
        <v>0</v>
      </c>
      <c r="BC31" s="90">
        <f>IFERROR(IF(F31="正常工资薪金",VLOOKUP(D31&amp;"*",个税上月累计情况!E:AL,31,0),0),0)</f>
        <v>0</v>
      </c>
      <c r="BD31" s="90">
        <f>IFERROR(IF(F31="正常工资薪金",VLOOKUP(D31&amp;"*",个税上月累计情况!E:AL,32,0),0),0)</f>
        <v>0</v>
      </c>
      <c r="BE31" s="90">
        <f>IFERROR(IF(F31="正常工资薪金",VLOOKUP(D31&amp;"*",个税上月累计情况!E:AL,33,0),0),0)</f>
        <v>0</v>
      </c>
      <c r="BF31" s="90">
        <f>IFERROR(IF(F31="正常工资薪金",VLOOKUP(D31&amp;"*",个税上月累计情况!E:AL,34,0),0),0)</f>
        <v>0</v>
      </c>
      <c r="BG31" s="90">
        <f>IFERROR(IF(F31="正常工资薪金",VLOOKUP(D31&amp;"*",个税上月累计情况!E:AN,35,0),0),0)</f>
        <v>0</v>
      </c>
      <c r="BH31" s="90">
        <f>IFERROR(IF(F31="正常工资薪金",VLOOKUP(D31&amp;"*",个税上月累计情况!E:AN,36,0),0),0)</f>
        <v>0</v>
      </c>
      <c r="BI31" s="90">
        <f>IFERROR(IF(F31="正常工资薪金",VLOOKUP(D31&amp;"*",个税上月累计情况!D:AW,46,0),0),0)</f>
        <v>2667.38</v>
      </c>
      <c r="BJ31" s="90">
        <f>IFERROR(IF(F31="正常工资薪金",VLOOKUP(D31&amp;"*",个税上月累计情况!D:AX,47,0),0),0)</f>
        <v>868.5</v>
      </c>
      <c r="BK31" t="e">
        <f>VLOOKUP(B31,花名册!C:N,12,0)</f>
        <v>#N/A</v>
      </c>
    </row>
    <row r="32" ht="19.5" hidden="1" spans="1:63">
      <c r="A32" s="87"/>
      <c r="B32" s="87" t="s">
        <v>327</v>
      </c>
      <c r="C32" s="87" t="s">
        <v>268</v>
      </c>
      <c r="D32" s="87" t="s">
        <v>328</v>
      </c>
      <c r="E32" s="87" t="s">
        <v>270</v>
      </c>
      <c r="F32" s="87" t="s">
        <v>271</v>
      </c>
      <c r="G32" s="89" t="e" cm="1">
        <f t="array" ref="G32">_xlfn.IFS(F32="正常工资薪金",VLOOKUP(D32&amp;"*",工资表明细!D:BL,61,0),F32="一般劳务报酬所得",VLOOKUP(D32&amp;"*",工资表明细!D:BJ,59,0),F32="全年一次性奖金收入",VLOOKUP(D32&amp;"*",工资表明细!D:BI,58,0),F32="解除劳动合同一次性补偿金",VLOOKUP(D32&amp;"*",工资表明细!D:BH,57,0))</f>
        <v>#N/A</v>
      </c>
      <c r="H32" s="89">
        <f t="shared" si="0"/>
        <v>0</v>
      </c>
      <c r="I32" s="89">
        <v>0</v>
      </c>
      <c r="J32" s="89">
        <f t="shared" si="1"/>
        <v>5000</v>
      </c>
      <c r="K32" s="89" t="e">
        <f>IF(F32="正常工资薪金",VLOOKUP(D32&amp;"*",工资表明细!D:AP,39,0),0)</f>
        <v>#N/A</v>
      </c>
      <c r="L32" s="89" t="e">
        <f>IF(F32="正常工资薪金",VLOOKUP(D32&amp;"*",工资表明细!D:AQ,40,0),0)</f>
        <v>#N/A</v>
      </c>
      <c r="M32" s="89" t="e">
        <f>IF(F32="正常工资薪金",VLOOKUP(D32&amp;"*",工资表明细!D:AR,41,0),0)</f>
        <v>#N/A</v>
      </c>
      <c r="N32" s="89" t="e">
        <f>IF(F32="正常工资薪金",VLOOKUP(D32&amp;"*",工资表明细!D:AT,43,0),0)</f>
        <v>#N/A</v>
      </c>
      <c r="O32" s="89">
        <v>27</v>
      </c>
      <c r="P32" s="89">
        <v>27</v>
      </c>
      <c r="Q32" s="89">
        <v>27</v>
      </c>
      <c r="R32" s="89">
        <v>27</v>
      </c>
      <c r="S32" s="89">
        <v>27</v>
      </c>
      <c r="T32" s="89">
        <v>27</v>
      </c>
      <c r="U32" s="89">
        <v>27</v>
      </c>
      <c r="V32" s="89">
        <v>27</v>
      </c>
      <c r="W32" s="87" t="s">
        <v>272</v>
      </c>
      <c r="X32" s="89">
        <v>27</v>
      </c>
      <c r="Y32" s="87" t="s">
        <v>272</v>
      </c>
      <c r="Z32" s="87" t="s">
        <v>272</v>
      </c>
      <c r="AA32" s="87" t="s">
        <v>272</v>
      </c>
      <c r="AB32" s="89">
        <v>27</v>
      </c>
      <c r="AC32" s="89" t="e">
        <f t="shared" si="2"/>
        <v>#N/A</v>
      </c>
      <c r="AD32" s="89">
        <f t="shared" si="3"/>
        <v>40000</v>
      </c>
      <c r="AE32" s="89" t="e">
        <f t="shared" si="4"/>
        <v>#N/A</v>
      </c>
      <c r="AF32" s="89">
        <f t="shared" si="5"/>
        <v>0</v>
      </c>
      <c r="AG32" s="89">
        <f t="shared" si="6"/>
        <v>0</v>
      </c>
      <c r="AH32" s="89">
        <f t="shared" si="7"/>
        <v>0</v>
      </c>
      <c r="AI32" s="89">
        <f t="shared" si="8"/>
        <v>0</v>
      </c>
      <c r="AJ32" s="89">
        <f t="shared" si="9"/>
        <v>0</v>
      </c>
      <c r="AK32" s="89">
        <f t="shared" si="10"/>
        <v>0</v>
      </c>
      <c r="AL32" s="89">
        <v>0</v>
      </c>
      <c r="AM32" s="89">
        <v>0</v>
      </c>
      <c r="AN32" s="87" t="s">
        <v>273</v>
      </c>
      <c r="AO32" s="89">
        <v>0</v>
      </c>
      <c r="AP32" s="89" t="e">
        <f t="shared" si="11"/>
        <v>#N/A</v>
      </c>
      <c r="AQ32" s="89" t="e" cm="1">
        <f t="array" ref="AQ32">_xlfn.IFS(F32="正常工资薪金",VLOOKUP(AP32,{0,0.03;36000,0.1;144000,0.2;300000,0.25;420000,0.3;660000,0.35;960000,0.45},2,1),F32="一般劳务报酬所得",IF(AP32&lt;=20000,0.2,IF(AP32&lt;=50000,0.3,0.4)),F32="全年一次性奖金收入",VLOOKUP(AP32/12,{0,0.03;3000,0.1;12000,0.2;25000,0.25;35000,0.3;55000,0.35;80000,0.45},2,1),F32="解除劳动合同一次性补偿金",VLOOKUP(AP32,{0,0.03;36000,0.1;144000,0.2;300000,0.25;420000,0.3;660000,0.35;960000,0.45},2,1))</f>
        <v>#N/A</v>
      </c>
      <c r="AR32" s="89" t="e" cm="1">
        <f t="array" ref="AR32">_xlfn.IFS(F32="正常工资薪金",VLOOKUP(AP32,{0,0;36000,2520;144000,16920;300000,31920;420000,52920;660000,85920;960000,181920},2,1),F32="一般劳务报酬所得",IF(AP32&lt;=20000,0,IF(AS&lt;=50000,2000,7000)),F32="全年一次性奖金收入",VLOOKUP(AP32/12,{0,0;3000,210;12000,1410;25000,2660;35000,4410;55000,7160;80000,15160},2,1),F32="解除劳动合同一次性补偿金",VLOOKUP(AP32,{0,0;36000,2520;144000,16920;300000,31920;420000,52920;660000,85920;960000,181920},2,1))</f>
        <v>#N/A</v>
      </c>
      <c r="AS32" s="89" t="e">
        <f t="shared" si="12"/>
        <v>#N/A</v>
      </c>
      <c r="AT32" s="89">
        <v>0</v>
      </c>
      <c r="AU32" s="89">
        <f t="shared" si="13"/>
        <v>59.39</v>
      </c>
      <c r="AV32" s="89" t="e">
        <f t="shared" si="14"/>
        <v>#N/A</v>
      </c>
      <c r="AW32" s="87"/>
      <c r="AX32" s="90">
        <f>IFERROR(IF(F32="正常工资薪金",VLOOKUP(D32&amp;"*",个税上月累计情况!E:AL,26,0),0),0)</f>
        <v>44469.82</v>
      </c>
      <c r="AY32" s="90">
        <f>IFERROR(IF(F32="正常工资薪金",VLOOKUP(D32&amp;"*",个税上月累计情况!E:AL,27,0),0),0)</f>
        <v>35000</v>
      </c>
      <c r="AZ32" s="90">
        <f>IFERROR(IF(F32="正常工资薪金",VLOOKUP(D32&amp;"*",个税上月累计情况!E:AL,28,0),0),0)</f>
        <v>7490.07</v>
      </c>
      <c r="BA32" s="90">
        <f>IFERROR(IF(F32="正常工资薪金",VLOOKUP(D32&amp;"*",个税上月累计情况!E:AL,29,0),0),0)</f>
        <v>0</v>
      </c>
      <c r="BB32" s="90">
        <f>IFERROR(IF(F32="正常工资薪金",VLOOKUP(D32&amp;"*",个税上月累计情况!E:AL,30,0),0),0)</f>
        <v>0</v>
      </c>
      <c r="BC32" s="90">
        <f>IFERROR(IF(F32="正常工资薪金",VLOOKUP(D32&amp;"*",个税上月累计情况!E:AL,31,0),0),0)</f>
        <v>0</v>
      </c>
      <c r="BD32" s="90">
        <f>IFERROR(IF(F32="正常工资薪金",VLOOKUP(D32&amp;"*",个税上月累计情况!E:AL,32,0),0),0)</f>
        <v>0</v>
      </c>
      <c r="BE32" s="90">
        <f>IFERROR(IF(F32="正常工资薪金",VLOOKUP(D32&amp;"*",个税上月累计情况!E:AL,33,0),0),0)</f>
        <v>0</v>
      </c>
      <c r="BF32" s="90">
        <f>IFERROR(IF(F32="正常工资薪金",VLOOKUP(D32&amp;"*",个税上月累计情况!E:AL,34,0),0),0)</f>
        <v>0</v>
      </c>
      <c r="BG32" s="90">
        <f>IFERROR(IF(F32="正常工资薪金",VLOOKUP(D32&amp;"*",个税上月累计情况!E:AN,35,0),0),0)</f>
        <v>0</v>
      </c>
      <c r="BH32" s="90">
        <f>IFERROR(IF(F32="正常工资薪金",VLOOKUP(D32&amp;"*",个税上月累计情况!E:AN,36,0),0),0)</f>
        <v>0</v>
      </c>
      <c r="BI32" s="90">
        <f>IFERROR(IF(F32="正常工资薪金",VLOOKUP(D32&amp;"*",个税上月累计情况!D:AW,46,0),0),0)</f>
        <v>52.49</v>
      </c>
      <c r="BJ32" s="90">
        <f>IFERROR(IF(F32="正常工资薪金",VLOOKUP(D32&amp;"*",个税上月累计情况!D:AX,47,0),0),0)</f>
        <v>6.9</v>
      </c>
      <c r="BK32" t="e">
        <f>VLOOKUP(B32,花名册!C:N,12,0)</f>
        <v>#N/A</v>
      </c>
    </row>
    <row r="33" ht="19.5" hidden="1" spans="1:63">
      <c r="A33" s="87"/>
      <c r="B33" s="87" t="s">
        <v>329</v>
      </c>
      <c r="C33" s="87" t="s">
        <v>268</v>
      </c>
      <c r="D33" s="87" t="s">
        <v>330</v>
      </c>
      <c r="E33" s="87" t="s">
        <v>270</v>
      </c>
      <c r="F33" s="87" t="s">
        <v>271</v>
      </c>
      <c r="G33" s="89" t="e" cm="1">
        <f t="array" ref="G33">_xlfn.IFS(F33="正常工资薪金",VLOOKUP(D33&amp;"*",工资表明细!D:BL,61,0),F33="一般劳务报酬所得",VLOOKUP(D33&amp;"*",工资表明细!D:BJ,59,0),F33="全年一次性奖金收入",VLOOKUP(D33&amp;"*",工资表明细!D:BI,58,0),F33="解除劳动合同一次性补偿金",VLOOKUP(D33&amp;"*",工资表明细!D:BH,57,0))</f>
        <v>#N/A</v>
      </c>
      <c r="H33" s="89">
        <f t="shared" si="0"/>
        <v>0</v>
      </c>
      <c r="I33" s="89">
        <v>0</v>
      </c>
      <c r="J33" s="89">
        <f t="shared" si="1"/>
        <v>5000</v>
      </c>
      <c r="K33" s="89" t="e">
        <f>IF(F33="正常工资薪金",VLOOKUP(D33&amp;"*",工资表明细!D:AP,39,0),0)</f>
        <v>#N/A</v>
      </c>
      <c r="L33" s="89" t="e">
        <f>IF(F33="正常工资薪金",VLOOKUP(D33&amp;"*",工资表明细!D:AQ,40,0),0)</f>
        <v>#N/A</v>
      </c>
      <c r="M33" s="89" t="e">
        <f>IF(F33="正常工资薪金",VLOOKUP(D33&amp;"*",工资表明细!D:AR,41,0),0)</f>
        <v>#N/A</v>
      </c>
      <c r="N33" s="89" t="e">
        <f>IF(F33="正常工资薪金",VLOOKUP(D33&amp;"*",工资表明细!D:AT,43,0),0)</f>
        <v>#N/A</v>
      </c>
      <c r="O33" s="89">
        <v>28</v>
      </c>
      <c r="P33" s="89">
        <v>28</v>
      </c>
      <c r="Q33" s="89">
        <v>28</v>
      </c>
      <c r="R33" s="89">
        <v>28</v>
      </c>
      <c r="S33" s="89">
        <v>28</v>
      </c>
      <c r="T33" s="89">
        <v>28</v>
      </c>
      <c r="U33" s="89">
        <v>28</v>
      </c>
      <c r="V33" s="89">
        <v>28</v>
      </c>
      <c r="W33" s="87" t="s">
        <v>272</v>
      </c>
      <c r="X33" s="89">
        <v>28</v>
      </c>
      <c r="Y33" s="87" t="s">
        <v>272</v>
      </c>
      <c r="Z33" s="87" t="s">
        <v>272</v>
      </c>
      <c r="AA33" s="87" t="s">
        <v>272</v>
      </c>
      <c r="AB33" s="89">
        <v>28</v>
      </c>
      <c r="AC33" s="89" t="e">
        <f t="shared" si="2"/>
        <v>#N/A</v>
      </c>
      <c r="AD33" s="89">
        <f t="shared" si="3"/>
        <v>40000</v>
      </c>
      <c r="AE33" s="89" t="e">
        <f t="shared" si="4"/>
        <v>#N/A</v>
      </c>
      <c r="AF33" s="89">
        <f t="shared" si="5"/>
        <v>0</v>
      </c>
      <c r="AG33" s="89">
        <f t="shared" si="6"/>
        <v>0</v>
      </c>
      <c r="AH33" s="89">
        <f t="shared" si="7"/>
        <v>0</v>
      </c>
      <c r="AI33" s="89">
        <f t="shared" si="8"/>
        <v>0</v>
      </c>
      <c r="AJ33" s="89">
        <f t="shared" si="9"/>
        <v>0</v>
      </c>
      <c r="AK33" s="89">
        <f t="shared" si="10"/>
        <v>0</v>
      </c>
      <c r="AL33" s="89">
        <v>0</v>
      </c>
      <c r="AM33" s="89">
        <v>0</v>
      </c>
      <c r="AN33" s="87" t="s">
        <v>273</v>
      </c>
      <c r="AO33" s="89">
        <v>0</v>
      </c>
      <c r="AP33" s="89" t="e">
        <f t="shared" si="11"/>
        <v>#N/A</v>
      </c>
      <c r="AQ33" s="89" t="e" cm="1">
        <f t="array" ref="AQ33">_xlfn.IFS(F33="正常工资薪金",VLOOKUP(AP33,{0,0.03;36000,0.1;144000,0.2;300000,0.25;420000,0.3;660000,0.35;960000,0.45},2,1),F33="一般劳务报酬所得",IF(AP33&lt;=20000,0.2,IF(AP33&lt;=50000,0.3,0.4)),F33="全年一次性奖金收入",VLOOKUP(AP33/12,{0,0.03;3000,0.1;12000,0.2;25000,0.25;35000,0.3;55000,0.35;80000,0.45},2,1),F33="解除劳动合同一次性补偿金",VLOOKUP(AP33,{0,0.03;36000,0.1;144000,0.2;300000,0.25;420000,0.3;660000,0.35;960000,0.45},2,1))</f>
        <v>#N/A</v>
      </c>
      <c r="AR33" s="89" t="e" cm="1">
        <f t="array" ref="AR33">_xlfn.IFS(F33="正常工资薪金",VLOOKUP(AP33,{0,0;36000,2520;144000,16920;300000,31920;420000,52920;660000,85920;960000,181920},2,1),F33="一般劳务报酬所得",IF(AP33&lt;=20000,0,IF(AS&lt;=50000,2000,7000)),F33="全年一次性奖金收入",VLOOKUP(AP33/12,{0,0;3000,210;12000,1410;25000,2660;35000,4410;55000,7160;80000,15160},2,1),F33="解除劳动合同一次性补偿金",VLOOKUP(AP33,{0,0;36000,2520;144000,16920;300000,31920;420000,52920;660000,85920;960000,181920},2,1))</f>
        <v>#N/A</v>
      </c>
      <c r="AS33" s="89" t="e">
        <f t="shared" si="12"/>
        <v>#N/A</v>
      </c>
      <c r="AT33" s="89">
        <v>0</v>
      </c>
      <c r="AU33" s="89">
        <f t="shared" si="13"/>
        <v>710.77</v>
      </c>
      <c r="AV33" s="89" t="e">
        <f t="shared" si="14"/>
        <v>#N/A</v>
      </c>
      <c r="AW33" s="87"/>
      <c r="AX33" s="90">
        <f>IFERROR(IF(F33="正常工资薪金",VLOOKUP(D33&amp;"*",个税上月累计情况!E:AL,26,0),0),0)</f>
        <v>67337.55</v>
      </c>
      <c r="AY33" s="90">
        <f>IFERROR(IF(F33="正常工资薪金",VLOOKUP(D33&amp;"*",个税上月累计情况!E:AL,27,0),0),0)</f>
        <v>35000</v>
      </c>
      <c r="AZ33" s="90">
        <f>IFERROR(IF(F33="正常工资薪金",VLOOKUP(D33&amp;"*",个税上月累计情况!E:AL,28,0),0),0)</f>
        <v>8645.07</v>
      </c>
      <c r="BA33" s="90">
        <f>IFERROR(IF(F33="正常工资薪金",VLOOKUP(D33&amp;"*",个税上月累计情况!E:AL,29,0),0),0)</f>
        <v>0</v>
      </c>
      <c r="BB33" s="90">
        <f>IFERROR(IF(F33="正常工资薪金",VLOOKUP(D33&amp;"*",个税上月累计情况!E:AL,30,0),0),0)</f>
        <v>0</v>
      </c>
      <c r="BC33" s="90">
        <f>IFERROR(IF(F33="正常工资薪金",VLOOKUP(D33&amp;"*",个税上月累计情况!E:AL,31,0),0),0)</f>
        <v>0</v>
      </c>
      <c r="BD33" s="90">
        <f>IFERROR(IF(F33="正常工资薪金",VLOOKUP(D33&amp;"*",个税上月累计情况!E:AL,32,0),0),0)</f>
        <v>0</v>
      </c>
      <c r="BE33" s="90">
        <f>IFERROR(IF(F33="正常工资薪金",VLOOKUP(D33&amp;"*",个税上月累计情况!E:AL,33,0),0),0)</f>
        <v>0</v>
      </c>
      <c r="BF33" s="90">
        <f>IFERROR(IF(F33="正常工资薪金",VLOOKUP(D33&amp;"*",个税上月累计情况!E:AL,34,0),0),0)</f>
        <v>0</v>
      </c>
      <c r="BG33" s="90">
        <f>IFERROR(IF(F33="正常工资薪金",VLOOKUP(D33&amp;"*",个税上月累计情况!E:AN,35,0),0),0)</f>
        <v>0</v>
      </c>
      <c r="BH33" s="90">
        <f>IFERROR(IF(F33="正常工资薪金",VLOOKUP(D33&amp;"*",个税上月累计情况!E:AN,36,0),0),0)</f>
        <v>0</v>
      </c>
      <c r="BI33" s="90">
        <f>IFERROR(IF(F33="正常工资薪金",VLOOKUP(D33&amp;"*",个税上月累计情况!D:AW,46,0),0),0)</f>
        <v>608.32</v>
      </c>
      <c r="BJ33" s="90">
        <f>IFERROR(IF(F33="正常工资薪金",VLOOKUP(D33&amp;"*",个税上月累计情况!D:AX,47,0),0),0)</f>
        <v>102.45</v>
      </c>
      <c r="BK33" t="e">
        <f>VLOOKUP(B33,花名册!C:N,12,0)</f>
        <v>#N/A</v>
      </c>
    </row>
    <row r="34" ht="19.5" hidden="1" spans="1:63">
      <c r="A34" s="87"/>
      <c r="B34" s="87" t="s">
        <v>331</v>
      </c>
      <c r="C34" s="87" t="s">
        <v>268</v>
      </c>
      <c r="D34" s="87" t="s">
        <v>332</v>
      </c>
      <c r="E34" s="87" t="s">
        <v>270</v>
      </c>
      <c r="F34" s="87" t="s">
        <v>271</v>
      </c>
      <c r="G34" s="89" t="e" cm="1">
        <f t="array" ref="G34">_xlfn.IFS(F34="正常工资薪金",VLOOKUP(D34&amp;"*",工资表明细!D:BL,61,0),F34="一般劳务报酬所得",VLOOKUP(D34&amp;"*",工资表明细!D:BJ,59,0),F34="全年一次性奖金收入",VLOOKUP(D34&amp;"*",工资表明细!D:BI,58,0),F34="解除劳动合同一次性补偿金",VLOOKUP(D34&amp;"*",工资表明细!D:BH,57,0))</f>
        <v>#N/A</v>
      </c>
      <c r="H34" s="89">
        <f t="shared" si="0"/>
        <v>0</v>
      </c>
      <c r="I34" s="89">
        <v>0</v>
      </c>
      <c r="J34" s="89">
        <f t="shared" si="1"/>
        <v>5000</v>
      </c>
      <c r="K34" s="89" t="e">
        <f>IF(F34="正常工资薪金",VLOOKUP(D34&amp;"*",工资表明细!D:AP,39,0),0)</f>
        <v>#N/A</v>
      </c>
      <c r="L34" s="89" t="e">
        <f>IF(F34="正常工资薪金",VLOOKUP(D34&amp;"*",工资表明细!D:AQ,40,0),0)</f>
        <v>#N/A</v>
      </c>
      <c r="M34" s="89" t="e">
        <f>IF(F34="正常工资薪金",VLOOKUP(D34&amp;"*",工资表明细!D:AR,41,0),0)</f>
        <v>#N/A</v>
      </c>
      <c r="N34" s="89" t="e">
        <f>IF(F34="正常工资薪金",VLOOKUP(D34&amp;"*",工资表明细!D:AT,43,0),0)</f>
        <v>#N/A</v>
      </c>
      <c r="O34" s="89">
        <v>29</v>
      </c>
      <c r="P34" s="89">
        <v>29</v>
      </c>
      <c r="Q34" s="89">
        <v>29</v>
      </c>
      <c r="R34" s="89">
        <v>29</v>
      </c>
      <c r="S34" s="89">
        <v>29</v>
      </c>
      <c r="T34" s="89">
        <v>29</v>
      </c>
      <c r="U34" s="89">
        <v>29</v>
      </c>
      <c r="V34" s="89">
        <v>29</v>
      </c>
      <c r="W34" s="87" t="s">
        <v>272</v>
      </c>
      <c r="X34" s="89">
        <v>29</v>
      </c>
      <c r="Y34" s="87" t="s">
        <v>272</v>
      </c>
      <c r="Z34" s="87" t="s">
        <v>272</v>
      </c>
      <c r="AA34" s="87" t="s">
        <v>272</v>
      </c>
      <c r="AB34" s="89">
        <v>29</v>
      </c>
      <c r="AC34" s="89" t="e">
        <f t="shared" si="2"/>
        <v>#N/A</v>
      </c>
      <c r="AD34" s="89">
        <f t="shared" si="3"/>
        <v>40000</v>
      </c>
      <c r="AE34" s="89" t="e">
        <f t="shared" si="4"/>
        <v>#N/A</v>
      </c>
      <c r="AF34" s="89">
        <f t="shared" si="5"/>
        <v>0</v>
      </c>
      <c r="AG34" s="89">
        <f t="shared" si="6"/>
        <v>0</v>
      </c>
      <c r="AH34" s="89">
        <f t="shared" si="7"/>
        <v>0</v>
      </c>
      <c r="AI34" s="89">
        <f t="shared" si="8"/>
        <v>0</v>
      </c>
      <c r="AJ34" s="89">
        <f t="shared" si="9"/>
        <v>0</v>
      </c>
      <c r="AK34" s="89">
        <f t="shared" si="10"/>
        <v>0</v>
      </c>
      <c r="AL34" s="89">
        <v>0</v>
      </c>
      <c r="AM34" s="89">
        <v>0</v>
      </c>
      <c r="AN34" s="87" t="s">
        <v>273</v>
      </c>
      <c r="AO34" s="89">
        <v>0</v>
      </c>
      <c r="AP34" s="89" t="e">
        <f t="shared" si="11"/>
        <v>#N/A</v>
      </c>
      <c r="AQ34" s="89" t="e" cm="1">
        <f t="array" ref="AQ34">_xlfn.IFS(F34="正常工资薪金",VLOOKUP(AP34,{0,0.03;36000,0.1;144000,0.2;300000,0.25;420000,0.3;660000,0.35;960000,0.45},2,1),F34="一般劳务报酬所得",IF(AP34&lt;=20000,0.2,IF(AP34&lt;=50000,0.3,0.4)),F34="全年一次性奖金收入",VLOOKUP(AP34/12,{0,0.03;3000,0.1;12000,0.2;25000,0.25;35000,0.3;55000,0.35;80000,0.45},2,1),F34="解除劳动合同一次性补偿金",VLOOKUP(AP34,{0,0.03;36000,0.1;144000,0.2;300000,0.25;420000,0.3;660000,0.35;960000,0.45},2,1))</f>
        <v>#N/A</v>
      </c>
      <c r="AR34" s="89" t="e" cm="1">
        <f t="array" ref="AR34">_xlfn.IFS(F34="正常工资薪金",VLOOKUP(AP34,{0,0;36000,2520;144000,16920;300000,31920;420000,52920;660000,85920;960000,181920},2,1),F34="一般劳务报酬所得",IF(AP34&lt;=20000,0,IF(AS&lt;=50000,2000,7000)),F34="全年一次性奖金收入",VLOOKUP(AP34/12,{0,0;3000,210;12000,1410;25000,2660;35000,4410;55000,7160;80000,15160},2,1),F34="解除劳动合同一次性补偿金",VLOOKUP(AP34,{0,0;36000,2520;144000,16920;300000,31920;420000,52920;660000,85920;960000,181920},2,1))</f>
        <v>#N/A</v>
      </c>
      <c r="AS34" s="89" t="e">
        <f t="shared" si="12"/>
        <v>#N/A</v>
      </c>
      <c r="AT34" s="89">
        <v>0</v>
      </c>
      <c r="AU34" s="89">
        <f t="shared" si="13"/>
        <v>434.25</v>
      </c>
      <c r="AV34" s="89" t="e">
        <f t="shared" si="14"/>
        <v>#N/A</v>
      </c>
      <c r="AW34" s="87"/>
      <c r="AX34" s="90">
        <f>IFERROR(IF(F34="正常工资薪金",VLOOKUP(D34&amp;"*",个税上月累计情况!E:AL,26,0),0),0)</f>
        <v>78101.66</v>
      </c>
      <c r="AY34" s="90">
        <f>IFERROR(IF(F34="正常工资薪金",VLOOKUP(D34&amp;"*",个税上月累计情况!E:AL,27,0),0),0)</f>
        <v>35000</v>
      </c>
      <c r="AZ34" s="90">
        <f>IFERROR(IF(F34="正常工资薪金",VLOOKUP(D34&amp;"*",个税上月累计情况!E:AL,28,0),0),0)</f>
        <v>9205.07</v>
      </c>
      <c r="BA34" s="90">
        <f>IFERROR(IF(F34="正常工资薪金",VLOOKUP(D34&amp;"*",个税上月累计情况!E:AL,29,0),0),0)</f>
        <v>0</v>
      </c>
      <c r="BB34" s="90">
        <f>IFERROR(IF(F34="正常工资薪金",VLOOKUP(D34&amp;"*",个税上月累计情况!E:AL,30,0),0),0)</f>
        <v>21000</v>
      </c>
      <c r="BC34" s="90">
        <f>IFERROR(IF(F34="正常工资薪金",VLOOKUP(D34&amp;"*",个税上月累计情况!E:AL,31,0),0),0)</f>
        <v>0</v>
      </c>
      <c r="BD34" s="90">
        <f>IFERROR(IF(F34="正常工资薪金",VLOOKUP(D34&amp;"*",个税上月累计情况!E:AL,32,0),0),0)</f>
        <v>1500</v>
      </c>
      <c r="BE34" s="90">
        <f>IFERROR(IF(F34="正常工资薪金",VLOOKUP(D34&amp;"*",个税上月累计情况!E:AL,33,0),0),0)</f>
        <v>0</v>
      </c>
      <c r="BF34" s="90">
        <f>IFERROR(IF(F34="正常工资薪金",VLOOKUP(D34&amp;"*",个税上月累计情况!E:AL,34,0),0),0)</f>
        <v>14000</v>
      </c>
      <c r="BG34" s="90">
        <f>IFERROR(IF(F34="正常工资薪金",VLOOKUP(D34&amp;"*",个税上月累计情况!E:AN,35,0),0),0)</f>
        <v>0</v>
      </c>
      <c r="BH34" s="90">
        <f>IFERROR(IF(F34="正常工资薪金",VLOOKUP(D34&amp;"*",个税上月累计情况!E:AN,36,0),0),0)</f>
        <v>0</v>
      </c>
      <c r="BI34" s="90">
        <f>IFERROR(IF(F34="正常工资薪金",VLOOKUP(D34&amp;"*",个税上月累计情况!D:AW,46,0),0),0)</f>
        <v>434.25</v>
      </c>
      <c r="BJ34" s="90">
        <f>IFERROR(IF(F34="正常工资薪金",VLOOKUP(D34&amp;"*",个税上月累计情况!D:AX,47,0),0),0)</f>
        <v>0</v>
      </c>
      <c r="BK34" t="e">
        <f>VLOOKUP(B34,花名册!C:N,12,0)</f>
        <v>#N/A</v>
      </c>
    </row>
    <row r="35" ht="19.5" hidden="1" spans="1:63">
      <c r="A35" s="87"/>
      <c r="B35" s="87" t="s">
        <v>333</v>
      </c>
      <c r="C35" s="87" t="s">
        <v>268</v>
      </c>
      <c r="D35" s="87" t="s">
        <v>334</v>
      </c>
      <c r="E35" s="87" t="s">
        <v>270</v>
      </c>
      <c r="F35" s="87" t="s">
        <v>271</v>
      </c>
      <c r="G35" s="89" t="e" cm="1">
        <f t="array" ref="G35">_xlfn.IFS(F35="正常工资薪金",VLOOKUP(D35&amp;"*",工资表明细!D:BL,61,0),F35="一般劳务报酬所得",VLOOKUP(D35&amp;"*",工资表明细!D:BJ,59,0),F35="全年一次性奖金收入",VLOOKUP(D35&amp;"*",工资表明细!D:BI,58,0),F35="解除劳动合同一次性补偿金",VLOOKUP(D35&amp;"*",工资表明细!D:BH,57,0))</f>
        <v>#N/A</v>
      </c>
      <c r="H35" s="89">
        <f t="shared" si="0"/>
        <v>0</v>
      </c>
      <c r="I35" s="89">
        <v>0</v>
      </c>
      <c r="J35" s="89">
        <f t="shared" si="1"/>
        <v>5000</v>
      </c>
      <c r="K35" s="89" t="e">
        <f>IF(F35="正常工资薪金",VLOOKUP(D35&amp;"*",工资表明细!D:AP,39,0),0)</f>
        <v>#N/A</v>
      </c>
      <c r="L35" s="89" t="e">
        <f>IF(F35="正常工资薪金",VLOOKUP(D35&amp;"*",工资表明细!D:AQ,40,0),0)</f>
        <v>#N/A</v>
      </c>
      <c r="M35" s="89" t="e">
        <f>IF(F35="正常工资薪金",VLOOKUP(D35&amp;"*",工资表明细!D:AR,41,0),0)</f>
        <v>#N/A</v>
      </c>
      <c r="N35" s="89" t="e">
        <f>IF(F35="正常工资薪金",VLOOKUP(D35&amp;"*",工资表明细!D:AT,43,0),0)</f>
        <v>#N/A</v>
      </c>
      <c r="O35" s="89">
        <v>30</v>
      </c>
      <c r="P35" s="89">
        <v>30</v>
      </c>
      <c r="Q35" s="89">
        <v>30</v>
      </c>
      <c r="R35" s="89">
        <v>30</v>
      </c>
      <c r="S35" s="89">
        <v>30</v>
      </c>
      <c r="T35" s="89">
        <v>30</v>
      </c>
      <c r="U35" s="89">
        <v>30</v>
      </c>
      <c r="V35" s="89">
        <v>30</v>
      </c>
      <c r="W35" s="87" t="s">
        <v>272</v>
      </c>
      <c r="X35" s="89">
        <v>30</v>
      </c>
      <c r="Y35" s="87" t="s">
        <v>272</v>
      </c>
      <c r="Z35" s="87" t="s">
        <v>272</v>
      </c>
      <c r="AA35" s="87" t="s">
        <v>272</v>
      </c>
      <c r="AB35" s="89">
        <v>30</v>
      </c>
      <c r="AC35" s="89" t="e">
        <f t="shared" si="2"/>
        <v>#N/A</v>
      </c>
      <c r="AD35" s="89">
        <f t="shared" si="3"/>
        <v>40000</v>
      </c>
      <c r="AE35" s="89" t="e">
        <f t="shared" si="4"/>
        <v>#N/A</v>
      </c>
      <c r="AF35" s="89">
        <f t="shared" si="5"/>
        <v>0</v>
      </c>
      <c r="AG35" s="89">
        <f t="shared" si="6"/>
        <v>0</v>
      </c>
      <c r="AH35" s="89">
        <f t="shared" si="7"/>
        <v>0</v>
      </c>
      <c r="AI35" s="89">
        <f t="shared" si="8"/>
        <v>0</v>
      </c>
      <c r="AJ35" s="89">
        <f t="shared" si="9"/>
        <v>0</v>
      </c>
      <c r="AK35" s="89">
        <f t="shared" si="10"/>
        <v>0</v>
      </c>
      <c r="AL35" s="89">
        <v>0</v>
      </c>
      <c r="AM35" s="89">
        <v>0</v>
      </c>
      <c r="AN35" s="87" t="s">
        <v>273</v>
      </c>
      <c r="AO35" s="89">
        <v>0</v>
      </c>
      <c r="AP35" s="89" t="e">
        <f t="shared" si="11"/>
        <v>#N/A</v>
      </c>
      <c r="AQ35" s="89" t="e" cm="1">
        <f t="array" ref="AQ35">_xlfn.IFS(F35="正常工资薪金",VLOOKUP(AP35,{0,0.03;36000,0.1;144000,0.2;300000,0.25;420000,0.3;660000,0.35;960000,0.45},2,1),F35="一般劳务报酬所得",IF(AP35&lt;=20000,0.2,IF(AP35&lt;=50000,0.3,0.4)),F35="全年一次性奖金收入",VLOOKUP(AP35/12,{0,0.03;3000,0.1;12000,0.2;25000,0.25;35000,0.3;55000,0.35;80000,0.45},2,1),F35="解除劳动合同一次性补偿金",VLOOKUP(AP35,{0,0.03;36000,0.1;144000,0.2;300000,0.25;420000,0.3;660000,0.35;960000,0.45},2,1))</f>
        <v>#N/A</v>
      </c>
      <c r="AR35" s="89" t="e" cm="1">
        <f t="array" ref="AR35">_xlfn.IFS(F35="正常工资薪金",VLOOKUP(AP35,{0,0;36000,2520;144000,16920;300000,31920;420000,52920;660000,85920;960000,181920},2,1),F35="一般劳务报酬所得",IF(AP35&lt;=20000,0,IF(AS&lt;=50000,2000,7000)),F35="全年一次性奖金收入",VLOOKUP(AP35/12,{0,0;3000,210;12000,1410;25000,2660;35000,4410;55000,7160;80000,15160},2,1),F35="解除劳动合同一次性补偿金",VLOOKUP(AP35,{0,0;36000,2520;144000,16920;300000,31920;420000,52920;660000,85920;960000,181920},2,1))</f>
        <v>#N/A</v>
      </c>
      <c r="AS35" s="89" t="e">
        <f t="shared" si="12"/>
        <v>#N/A</v>
      </c>
      <c r="AT35" s="89">
        <v>0</v>
      </c>
      <c r="AU35" s="89">
        <f t="shared" si="13"/>
        <v>1033.96</v>
      </c>
      <c r="AV35" s="89" t="e">
        <f t="shared" si="14"/>
        <v>#N/A</v>
      </c>
      <c r="AW35" s="87"/>
      <c r="AX35" s="90">
        <f>IFERROR(IF(F35="正常工资薪金",VLOOKUP(D35&amp;"*",个税上月累计情况!E:AL,26,0),0),0)</f>
        <v>78670.5</v>
      </c>
      <c r="AY35" s="90">
        <f>IFERROR(IF(F35="正常工资薪金",VLOOKUP(D35&amp;"*",个税上月累计情况!E:AL,27,0),0),0)</f>
        <v>35000</v>
      </c>
      <c r="AZ35" s="90">
        <f>IFERROR(IF(F35="正常工资薪金",VLOOKUP(D35&amp;"*",个税上月累计情况!E:AL,28,0),0),0)</f>
        <v>9205.07</v>
      </c>
      <c r="BA35" s="90">
        <f>IFERROR(IF(F35="正常工资薪金",VLOOKUP(D35&amp;"*",个税上月累计情况!E:AL,29,0),0),0)</f>
        <v>0</v>
      </c>
      <c r="BB35" s="90">
        <f>IFERROR(IF(F35="正常工资薪金",VLOOKUP(D35&amp;"*",个税上月累计情况!E:AL,30,0),0),0)</f>
        <v>0</v>
      </c>
      <c r="BC35" s="90">
        <f>IFERROR(IF(F35="正常工资薪金",VLOOKUP(D35&amp;"*",个税上月累计情况!E:AL,31,0),0),0)</f>
        <v>0</v>
      </c>
      <c r="BD35" s="90">
        <f>IFERROR(IF(F35="正常工资薪金",VLOOKUP(D35&amp;"*",个税上月累计情况!E:AL,32,0),0),0)</f>
        <v>0</v>
      </c>
      <c r="BE35" s="90">
        <f>IFERROR(IF(F35="正常工资薪金",VLOOKUP(D35&amp;"*",个税上月累计情况!E:AL,33,0),0),0)</f>
        <v>0</v>
      </c>
      <c r="BF35" s="90">
        <f>IFERROR(IF(F35="正常工资薪金",VLOOKUP(D35&amp;"*",个税上月累计情况!E:AL,34,0),0),0)</f>
        <v>0</v>
      </c>
      <c r="BG35" s="90">
        <f>IFERROR(IF(F35="正常工资薪金",VLOOKUP(D35&amp;"*",个税上月累计情况!E:AN,35,0),0),0)</f>
        <v>0</v>
      </c>
      <c r="BH35" s="90">
        <f>IFERROR(IF(F35="正常工资薪金",VLOOKUP(D35&amp;"*",个税上月累计情况!E:AN,36,0),0),0)</f>
        <v>0</v>
      </c>
      <c r="BI35" s="90">
        <f>IFERROR(IF(F35="正常工资薪金",VLOOKUP(D35&amp;"*",个税上月累计情况!D:AW,46,0),0),0)</f>
        <v>885.91</v>
      </c>
      <c r="BJ35" s="90">
        <f>IFERROR(IF(F35="正常工资薪金",VLOOKUP(D35&amp;"*",个税上月累计情况!D:AX,47,0),0),0)</f>
        <v>148.05</v>
      </c>
      <c r="BK35" t="e">
        <f>VLOOKUP(B35,花名册!C:N,12,0)</f>
        <v>#N/A</v>
      </c>
    </row>
    <row r="36" ht="19.5" hidden="1" spans="1:63">
      <c r="A36" s="87"/>
      <c r="B36" s="87" t="s">
        <v>335</v>
      </c>
      <c r="C36" s="87" t="s">
        <v>268</v>
      </c>
      <c r="D36" s="87" t="s">
        <v>336</v>
      </c>
      <c r="E36" s="87" t="s">
        <v>270</v>
      </c>
      <c r="F36" s="87" t="s">
        <v>271</v>
      </c>
      <c r="G36" s="89" t="e" cm="1">
        <f t="array" ref="G36">_xlfn.IFS(F36="正常工资薪金",VLOOKUP(D36&amp;"*",工资表明细!D:BL,61,0),F36="一般劳务报酬所得",VLOOKUP(D36&amp;"*",工资表明细!D:BJ,59,0),F36="全年一次性奖金收入",VLOOKUP(D36&amp;"*",工资表明细!D:BI,58,0),F36="解除劳动合同一次性补偿金",VLOOKUP(D36&amp;"*",工资表明细!D:BH,57,0))</f>
        <v>#N/A</v>
      </c>
      <c r="H36" s="89">
        <f t="shared" si="0"/>
        <v>0</v>
      </c>
      <c r="I36" s="89">
        <v>0</v>
      </c>
      <c r="J36" s="89">
        <f t="shared" si="1"/>
        <v>5000</v>
      </c>
      <c r="K36" s="89" t="e">
        <f>IF(F36="正常工资薪金",VLOOKUP(D36&amp;"*",工资表明细!D:AP,39,0),0)</f>
        <v>#N/A</v>
      </c>
      <c r="L36" s="89" t="e">
        <f>IF(F36="正常工资薪金",VLOOKUP(D36&amp;"*",工资表明细!D:AQ,40,0),0)</f>
        <v>#N/A</v>
      </c>
      <c r="M36" s="89" t="e">
        <f>IF(F36="正常工资薪金",VLOOKUP(D36&amp;"*",工资表明细!D:AR,41,0),0)</f>
        <v>#N/A</v>
      </c>
      <c r="N36" s="89" t="e">
        <f>IF(F36="正常工资薪金",VLOOKUP(D36&amp;"*",工资表明细!D:AT,43,0),0)</f>
        <v>#N/A</v>
      </c>
      <c r="O36" s="89">
        <v>31</v>
      </c>
      <c r="P36" s="89">
        <v>31</v>
      </c>
      <c r="Q36" s="89">
        <v>31</v>
      </c>
      <c r="R36" s="89">
        <v>31</v>
      </c>
      <c r="S36" s="89">
        <v>31</v>
      </c>
      <c r="T36" s="89">
        <v>31</v>
      </c>
      <c r="U36" s="89">
        <v>31</v>
      </c>
      <c r="V36" s="89">
        <v>31</v>
      </c>
      <c r="W36" s="87" t="s">
        <v>272</v>
      </c>
      <c r="X36" s="89">
        <v>31</v>
      </c>
      <c r="Y36" s="87" t="s">
        <v>272</v>
      </c>
      <c r="Z36" s="87" t="s">
        <v>272</v>
      </c>
      <c r="AA36" s="87" t="s">
        <v>272</v>
      </c>
      <c r="AB36" s="89">
        <v>31</v>
      </c>
      <c r="AC36" s="89" t="e">
        <f t="shared" si="2"/>
        <v>#N/A</v>
      </c>
      <c r="AD36" s="89">
        <f t="shared" si="3"/>
        <v>40000</v>
      </c>
      <c r="AE36" s="89" t="e">
        <f t="shared" si="4"/>
        <v>#N/A</v>
      </c>
      <c r="AF36" s="89">
        <f t="shared" si="5"/>
        <v>0</v>
      </c>
      <c r="AG36" s="89">
        <f t="shared" si="6"/>
        <v>0</v>
      </c>
      <c r="AH36" s="89">
        <f t="shared" si="7"/>
        <v>0</v>
      </c>
      <c r="AI36" s="89">
        <f t="shared" si="8"/>
        <v>0</v>
      </c>
      <c r="AJ36" s="89">
        <f t="shared" si="9"/>
        <v>0</v>
      </c>
      <c r="AK36" s="89">
        <f t="shared" si="10"/>
        <v>0</v>
      </c>
      <c r="AL36" s="89">
        <v>0</v>
      </c>
      <c r="AM36" s="89">
        <v>0</v>
      </c>
      <c r="AN36" s="87" t="s">
        <v>273</v>
      </c>
      <c r="AO36" s="89">
        <v>0</v>
      </c>
      <c r="AP36" s="89" t="e">
        <f t="shared" si="11"/>
        <v>#N/A</v>
      </c>
      <c r="AQ36" s="89" t="e" cm="1">
        <f t="array" ref="AQ36">_xlfn.IFS(F36="正常工资薪金",VLOOKUP(AP36,{0,0.03;36000,0.1;144000,0.2;300000,0.25;420000,0.3;660000,0.35;960000,0.45},2,1),F36="一般劳务报酬所得",IF(AP36&lt;=20000,0.2,IF(AP36&lt;=50000,0.3,0.4)),F36="全年一次性奖金收入",VLOOKUP(AP36/12,{0,0.03;3000,0.1;12000,0.2;25000,0.25;35000,0.3;55000,0.35;80000,0.45},2,1),F36="解除劳动合同一次性补偿金",VLOOKUP(AP36,{0,0.03;36000,0.1;144000,0.2;300000,0.25;420000,0.3;660000,0.35;960000,0.45},2,1))</f>
        <v>#N/A</v>
      </c>
      <c r="AR36" s="89" t="e" cm="1">
        <f t="array" ref="AR36">_xlfn.IFS(F36="正常工资薪金",VLOOKUP(AP36,{0,0;36000,2520;144000,16920;300000,31920;420000,52920;660000,85920;960000,181920},2,1),F36="一般劳务报酬所得",IF(AP36&lt;=20000,0,IF(AS&lt;=50000,2000,7000)),F36="全年一次性奖金收入",VLOOKUP(AP36/12,{0,0;3000,210;12000,1410;25000,2660;35000,4410;55000,7160;80000,15160},2,1),F36="解除劳动合同一次性补偿金",VLOOKUP(AP36,{0,0;36000,2520;144000,16920;300000,31920;420000,52920;660000,85920;960000,181920},2,1))</f>
        <v>#N/A</v>
      </c>
      <c r="AS36" s="89" t="e">
        <f t="shared" si="12"/>
        <v>#N/A</v>
      </c>
      <c r="AT36" s="89">
        <v>0</v>
      </c>
      <c r="AU36" s="89">
        <f t="shared" si="13"/>
        <v>5666.42</v>
      </c>
      <c r="AV36" s="89" t="e">
        <f t="shared" si="14"/>
        <v>#N/A</v>
      </c>
      <c r="AW36" s="87"/>
      <c r="AX36" s="90">
        <f>IFERROR(IF(F36="正常工资薪金",VLOOKUP(D36&amp;"*",个税上月累计情况!E:AL,26,0),0),0)</f>
        <v>126069.22</v>
      </c>
      <c r="AY36" s="90">
        <f>IFERROR(IF(F36="正常工资薪金",VLOOKUP(D36&amp;"*",个税上月累计情况!E:AL,27,0),0),0)</f>
        <v>35000</v>
      </c>
      <c r="AZ36" s="90">
        <f>IFERROR(IF(F36="正常工资薪金",VLOOKUP(D36&amp;"*",个税上月累计情况!E:AL,28,0),0),0)</f>
        <v>9205.07</v>
      </c>
      <c r="BA36" s="90">
        <f>IFERROR(IF(F36="正常工资薪金",VLOOKUP(D36&amp;"*",个税上月累计情况!E:AL,29,0),0),0)</f>
        <v>0</v>
      </c>
      <c r="BB36" s="90">
        <f>IFERROR(IF(F36="正常工资薪金",VLOOKUP(D36&amp;"*",个税上月累计情况!E:AL,30,0),0),0)</f>
        <v>0</v>
      </c>
      <c r="BC36" s="90">
        <f>IFERROR(IF(F36="正常工资薪金",VLOOKUP(D36&amp;"*",个税上月累计情况!E:AL,31,0),0),0)</f>
        <v>0</v>
      </c>
      <c r="BD36" s="90">
        <f>IFERROR(IF(F36="正常工资薪金",VLOOKUP(D36&amp;"*",个税上月累计情况!E:AL,32,0),0),0)</f>
        <v>0</v>
      </c>
      <c r="BE36" s="90">
        <f>IFERROR(IF(F36="正常工资薪金",VLOOKUP(D36&amp;"*",个税上月累计情况!E:AL,33,0),0),0)</f>
        <v>0</v>
      </c>
      <c r="BF36" s="90">
        <f>IFERROR(IF(F36="正常工资薪金",VLOOKUP(D36&amp;"*",个税上月累计情况!E:AL,34,0),0),0)</f>
        <v>0</v>
      </c>
      <c r="BG36" s="90">
        <f>IFERROR(IF(F36="正常工资薪金",VLOOKUP(D36&amp;"*",个税上月累计情况!E:AN,35,0),0),0)</f>
        <v>0</v>
      </c>
      <c r="BH36" s="90">
        <f>IFERROR(IF(F36="正常工资薪金",VLOOKUP(D36&amp;"*",个税上月累计情况!E:AN,36,0),0),0)</f>
        <v>0</v>
      </c>
      <c r="BI36" s="90">
        <f>IFERROR(IF(F36="正常工资薪金",VLOOKUP(D36&amp;"*",个税上月累计情况!D:AW,46,0),0),0)</f>
        <v>4501.2</v>
      </c>
      <c r="BJ36" s="90">
        <f>IFERROR(IF(F36="正常工资薪金",VLOOKUP(D36&amp;"*",个税上月累计情况!D:AX,47,0),0),0)</f>
        <v>1165.22</v>
      </c>
      <c r="BK36" t="e">
        <f>VLOOKUP(B36,花名册!C:N,12,0)</f>
        <v>#N/A</v>
      </c>
    </row>
    <row r="37" ht="19.5" hidden="1" spans="1:63">
      <c r="A37" s="87"/>
      <c r="B37" s="87" t="s">
        <v>337</v>
      </c>
      <c r="C37" s="87" t="s">
        <v>268</v>
      </c>
      <c r="D37" s="87" t="s">
        <v>338</v>
      </c>
      <c r="E37" s="87" t="s">
        <v>270</v>
      </c>
      <c r="F37" s="87" t="s">
        <v>271</v>
      </c>
      <c r="G37" s="89" t="e" cm="1">
        <f t="array" ref="G37">_xlfn.IFS(F37="正常工资薪金",VLOOKUP(D37&amp;"*",工资表明细!D:BL,61,0),F37="一般劳务报酬所得",VLOOKUP(D37&amp;"*",工资表明细!D:BJ,59,0),F37="全年一次性奖金收入",VLOOKUP(D37&amp;"*",工资表明细!D:BI,58,0),F37="解除劳动合同一次性补偿金",VLOOKUP(D37&amp;"*",工资表明细!D:BH,57,0))</f>
        <v>#N/A</v>
      </c>
      <c r="H37" s="89">
        <f t="shared" si="0"/>
        <v>0</v>
      </c>
      <c r="I37" s="89">
        <v>0</v>
      </c>
      <c r="J37" s="89">
        <f t="shared" si="1"/>
        <v>5000</v>
      </c>
      <c r="K37" s="89" t="e">
        <f>IF(F37="正常工资薪金",VLOOKUP(D37&amp;"*",工资表明细!D:AP,39,0),0)</f>
        <v>#N/A</v>
      </c>
      <c r="L37" s="89" t="e">
        <f>IF(F37="正常工资薪金",VLOOKUP(D37&amp;"*",工资表明细!D:AQ,40,0),0)</f>
        <v>#N/A</v>
      </c>
      <c r="M37" s="89" t="e">
        <f>IF(F37="正常工资薪金",VLOOKUP(D37&amp;"*",工资表明细!D:AR,41,0),0)</f>
        <v>#N/A</v>
      </c>
      <c r="N37" s="89" t="e">
        <f>IF(F37="正常工资薪金",VLOOKUP(D37&amp;"*",工资表明细!D:AT,43,0),0)</f>
        <v>#N/A</v>
      </c>
      <c r="O37" s="89">
        <v>32</v>
      </c>
      <c r="P37" s="89">
        <v>32</v>
      </c>
      <c r="Q37" s="89">
        <v>32</v>
      </c>
      <c r="R37" s="89">
        <v>32</v>
      </c>
      <c r="S37" s="89">
        <v>32</v>
      </c>
      <c r="T37" s="89">
        <v>32</v>
      </c>
      <c r="U37" s="89">
        <v>32</v>
      </c>
      <c r="V37" s="89">
        <v>32</v>
      </c>
      <c r="W37" s="87" t="s">
        <v>272</v>
      </c>
      <c r="X37" s="89">
        <v>32</v>
      </c>
      <c r="Y37" s="87" t="s">
        <v>272</v>
      </c>
      <c r="Z37" s="87" t="s">
        <v>272</v>
      </c>
      <c r="AA37" s="87" t="s">
        <v>272</v>
      </c>
      <c r="AB37" s="89">
        <v>32</v>
      </c>
      <c r="AC37" s="89" t="e">
        <f t="shared" si="2"/>
        <v>#N/A</v>
      </c>
      <c r="AD37" s="89">
        <f t="shared" si="3"/>
        <v>40000</v>
      </c>
      <c r="AE37" s="89" t="e">
        <f t="shared" si="4"/>
        <v>#N/A</v>
      </c>
      <c r="AF37" s="89">
        <f t="shared" si="5"/>
        <v>0</v>
      </c>
      <c r="AG37" s="89">
        <f t="shared" si="6"/>
        <v>0</v>
      </c>
      <c r="AH37" s="89">
        <f t="shared" si="7"/>
        <v>0</v>
      </c>
      <c r="AI37" s="89">
        <f t="shared" si="8"/>
        <v>0</v>
      </c>
      <c r="AJ37" s="89">
        <f t="shared" si="9"/>
        <v>0</v>
      </c>
      <c r="AK37" s="89">
        <f t="shared" si="10"/>
        <v>0</v>
      </c>
      <c r="AL37" s="89">
        <v>0</v>
      </c>
      <c r="AM37" s="89">
        <v>0</v>
      </c>
      <c r="AN37" s="87" t="s">
        <v>273</v>
      </c>
      <c r="AO37" s="89">
        <v>0</v>
      </c>
      <c r="AP37" s="89" t="e">
        <f t="shared" si="11"/>
        <v>#N/A</v>
      </c>
      <c r="AQ37" s="89" t="e" cm="1">
        <f t="array" ref="AQ37">_xlfn.IFS(F37="正常工资薪金",VLOOKUP(AP37,{0,0.03;36000,0.1;144000,0.2;300000,0.25;420000,0.3;660000,0.35;960000,0.45},2,1),F37="一般劳务报酬所得",IF(AP37&lt;=20000,0.2,IF(AP37&lt;=50000,0.3,0.4)),F37="全年一次性奖金收入",VLOOKUP(AP37/12,{0,0.03;3000,0.1;12000,0.2;25000,0.25;35000,0.3;55000,0.35;80000,0.45},2,1),F37="解除劳动合同一次性补偿金",VLOOKUP(AP37,{0,0.03;36000,0.1;144000,0.2;300000,0.25;420000,0.3;660000,0.35;960000,0.45},2,1))</f>
        <v>#N/A</v>
      </c>
      <c r="AR37" s="89" t="e" cm="1">
        <f t="array" ref="AR37">_xlfn.IFS(F37="正常工资薪金",VLOOKUP(AP37,{0,0;36000,2520;144000,16920;300000,31920;420000,52920;660000,85920;960000,181920},2,1),F37="一般劳务报酬所得",IF(AP37&lt;=20000,0,IF(AS&lt;=50000,2000,7000)),F37="全年一次性奖金收入",VLOOKUP(AP37/12,{0,0;3000,210;12000,1410;25000,2660;35000,4410;55000,7160;80000,15160},2,1),F37="解除劳动合同一次性补偿金",VLOOKUP(AP37,{0,0;36000,2520;144000,16920;300000,31920;420000,52920;660000,85920;960000,181920},2,1))</f>
        <v>#N/A</v>
      </c>
      <c r="AS37" s="89" t="e">
        <f t="shared" si="12"/>
        <v>#N/A</v>
      </c>
      <c r="AT37" s="89">
        <v>0</v>
      </c>
      <c r="AU37" s="89">
        <f t="shared" si="13"/>
        <v>7406.38</v>
      </c>
      <c r="AV37" s="89" t="e">
        <f t="shared" si="14"/>
        <v>#N/A</v>
      </c>
      <c r="AW37" s="87"/>
      <c r="AX37" s="90">
        <f>IFERROR(IF(F37="正常工资薪金",VLOOKUP(D37&amp;"*",个税上月累计情况!E:AL,26,0),0),0)</f>
        <v>146960.02</v>
      </c>
      <c r="AY37" s="90">
        <f>IFERROR(IF(F37="正常工资薪金",VLOOKUP(D37&amp;"*",个税上月累计情况!E:AL,27,0),0),0)</f>
        <v>35000</v>
      </c>
      <c r="AZ37" s="90">
        <f>IFERROR(IF(F37="正常工资薪金",VLOOKUP(D37&amp;"*",个税上月累计情况!E:AL,28,0),0),0)</f>
        <v>12696.18</v>
      </c>
      <c r="BA37" s="90">
        <f>IFERROR(IF(F37="正常工资薪金",VLOOKUP(D37&amp;"*",个税上月累计情况!E:AL,29,0),0),0)</f>
        <v>0</v>
      </c>
      <c r="BB37" s="90">
        <f>IFERROR(IF(F37="正常工资薪金",VLOOKUP(D37&amp;"*",个税上月累计情况!E:AL,30,0),0),0)</f>
        <v>0</v>
      </c>
      <c r="BC37" s="90">
        <f>IFERROR(IF(F37="正常工资薪金",VLOOKUP(D37&amp;"*",个税上月累计情况!E:AL,31,0),0),0)</f>
        <v>0</v>
      </c>
      <c r="BD37" s="90">
        <f>IFERROR(IF(F37="正常工资薪金",VLOOKUP(D37&amp;"*",个税上月累计情况!E:AL,32,0),0),0)</f>
        <v>0</v>
      </c>
      <c r="BE37" s="90">
        <f>IFERROR(IF(F37="正常工资薪金",VLOOKUP(D37&amp;"*",个税上月累计情况!E:AL,33,0),0),0)</f>
        <v>0</v>
      </c>
      <c r="BF37" s="90">
        <f>IFERROR(IF(F37="正常工资薪金",VLOOKUP(D37&amp;"*",个税上月累计情况!E:AL,34,0),0),0)</f>
        <v>0</v>
      </c>
      <c r="BG37" s="90">
        <f>IFERROR(IF(F37="正常工资薪金",VLOOKUP(D37&amp;"*",个税上月累计情况!E:AN,35,0),0),0)</f>
        <v>0</v>
      </c>
      <c r="BH37" s="90">
        <f>IFERROR(IF(F37="正常工资薪金",VLOOKUP(D37&amp;"*",个税上月累计情况!E:AN,36,0),0),0)</f>
        <v>0</v>
      </c>
      <c r="BI37" s="90">
        <f>IFERROR(IF(F37="正常工资薪金",VLOOKUP(D37&amp;"*",个税上月累计情况!D:AW,46,0),0),0)</f>
        <v>5958.74</v>
      </c>
      <c r="BJ37" s="90">
        <f>IFERROR(IF(F37="正常工资薪金",VLOOKUP(D37&amp;"*",个税上月累计情况!D:AX,47,0),0),0)</f>
        <v>1447.64</v>
      </c>
      <c r="BK37" t="e">
        <f>VLOOKUP(B37,花名册!C:N,12,0)</f>
        <v>#N/A</v>
      </c>
    </row>
    <row r="38" ht="19.5" hidden="1" spans="1:63">
      <c r="A38" s="87"/>
      <c r="B38" s="87" t="s">
        <v>339</v>
      </c>
      <c r="C38" s="87" t="s">
        <v>268</v>
      </c>
      <c r="D38" s="87" t="s">
        <v>340</v>
      </c>
      <c r="E38" s="87" t="s">
        <v>270</v>
      </c>
      <c r="F38" s="87" t="s">
        <v>271</v>
      </c>
      <c r="G38" s="89" t="e" cm="1">
        <f t="array" ref="G38">_xlfn.IFS(F38="正常工资薪金",VLOOKUP(D38&amp;"*",工资表明细!D:BL,61,0),F38="一般劳务报酬所得",VLOOKUP(D38&amp;"*",工资表明细!D:BJ,59,0),F38="全年一次性奖金收入",VLOOKUP(D38&amp;"*",工资表明细!D:BI,58,0),F38="解除劳动合同一次性补偿金",VLOOKUP(D38&amp;"*",工资表明细!D:BH,57,0))</f>
        <v>#N/A</v>
      </c>
      <c r="H38" s="89">
        <f t="shared" si="0"/>
        <v>0</v>
      </c>
      <c r="I38" s="89">
        <v>0</v>
      </c>
      <c r="J38" s="89">
        <f t="shared" si="1"/>
        <v>5000</v>
      </c>
      <c r="K38" s="89" t="e">
        <f>IF(F38="正常工资薪金",VLOOKUP(D38&amp;"*",工资表明细!D:AP,39,0),0)</f>
        <v>#N/A</v>
      </c>
      <c r="L38" s="89" t="e">
        <f>IF(F38="正常工资薪金",VLOOKUP(D38&amp;"*",工资表明细!D:AQ,40,0),0)</f>
        <v>#N/A</v>
      </c>
      <c r="M38" s="89" t="e">
        <f>IF(F38="正常工资薪金",VLOOKUP(D38&amp;"*",工资表明细!D:AR,41,0),0)</f>
        <v>#N/A</v>
      </c>
      <c r="N38" s="89" t="e">
        <f>IF(F38="正常工资薪金",VLOOKUP(D38&amp;"*",工资表明细!D:AT,43,0),0)</f>
        <v>#N/A</v>
      </c>
      <c r="O38" s="89">
        <v>33</v>
      </c>
      <c r="P38" s="89">
        <v>33</v>
      </c>
      <c r="Q38" s="89">
        <v>33</v>
      </c>
      <c r="R38" s="89">
        <v>33</v>
      </c>
      <c r="S38" s="89">
        <v>33</v>
      </c>
      <c r="T38" s="89">
        <v>33</v>
      </c>
      <c r="U38" s="89">
        <v>33</v>
      </c>
      <c r="V38" s="89">
        <v>33</v>
      </c>
      <c r="W38" s="87" t="s">
        <v>272</v>
      </c>
      <c r="X38" s="89">
        <v>33</v>
      </c>
      <c r="Y38" s="87" t="s">
        <v>272</v>
      </c>
      <c r="Z38" s="87" t="s">
        <v>272</v>
      </c>
      <c r="AA38" s="87" t="s">
        <v>272</v>
      </c>
      <c r="AB38" s="89">
        <v>33</v>
      </c>
      <c r="AC38" s="89" t="e">
        <f t="shared" si="2"/>
        <v>#N/A</v>
      </c>
      <c r="AD38" s="89">
        <f t="shared" si="3"/>
        <v>40000</v>
      </c>
      <c r="AE38" s="89" t="e">
        <f t="shared" si="4"/>
        <v>#N/A</v>
      </c>
      <c r="AF38" s="89">
        <f t="shared" si="5"/>
        <v>0</v>
      </c>
      <c r="AG38" s="89">
        <f t="shared" si="6"/>
        <v>0</v>
      </c>
      <c r="AH38" s="89">
        <f t="shared" si="7"/>
        <v>0</v>
      </c>
      <c r="AI38" s="89">
        <f t="shared" si="8"/>
        <v>0</v>
      </c>
      <c r="AJ38" s="89">
        <f t="shared" si="9"/>
        <v>0</v>
      </c>
      <c r="AK38" s="89">
        <f t="shared" si="10"/>
        <v>0</v>
      </c>
      <c r="AL38" s="89">
        <v>0</v>
      </c>
      <c r="AM38" s="89">
        <v>0</v>
      </c>
      <c r="AN38" s="87" t="s">
        <v>273</v>
      </c>
      <c r="AO38" s="89">
        <v>0</v>
      </c>
      <c r="AP38" s="89" t="e">
        <f t="shared" si="11"/>
        <v>#N/A</v>
      </c>
      <c r="AQ38" s="89" t="e" cm="1">
        <f t="array" ref="AQ38">_xlfn.IFS(F38="正常工资薪金",VLOOKUP(AP38,{0,0.03;36000,0.1;144000,0.2;300000,0.25;420000,0.3;660000,0.35;960000,0.45},2,1),F38="一般劳务报酬所得",IF(AP38&lt;=20000,0.2,IF(AP38&lt;=50000,0.3,0.4)),F38="全年一次性奖金收入",VLOOKUP(AP38/12,{0,0.03;3000,0.1;12000,0.2;25000,0.25;35000,0.3;55000,0.35;80000,0.45},2,1),F38="解除劳动合同一次性补偿金",VLOOKUP(AP38,{0,0.03;36000,0.1;144000,0.2;300000,0.25;420000,0.3;660000,0.35;960000,0.45},2,1))</f>
        <v>#N/A</v>
      </c>
      <c r="AR38" s="89" t="e" cm="1">
        <f t="array" ref="AR38">_xlfn.IFS(F38="正常工资薪金",VLOOKUP(AP38,{0,0;36000,2520;144000,16920;300000,31920;420000,52920;660000,85920;960000,181920},2,1),F38="一般劳务报酬所得",IF(AP38&lt;=20000,0,IF(AS&lt;=50000,2000,7000)),F38="全年一次性奖金收入",VLOOKUP(AP38/12,{0,0;3000,210;12000,1410;25000,2660;35000,4410;55000,7160;80000,15160},2,1),F38="解除劳动合同一次性补偿金",VLOOKUP(AP38,{0,0;36000,2520;144000,16920;300000,31920;420000,52920;660000,85920;960000,181920},2,1))</f>
        <v>#N/A</v>
      </c>
      <c r="AS38" s="89" t="e">
        <f t="shared" si="12"/>
        <v>#N/A</v>
      </c>
      <c r="AT38" s="89">
        <v>0</v>
      </c>
      <c r="AU38" s="89">
        <f t="shared" si="13"/>
        <v>405.14</v>
      </c>
      <c r="AV38" s="89" t="e">
        <f t="shared" si="14"/>
        <v>#N/A</v>
      </c>
      <c r="AW38" s="87"/>
      <c r="AX38" s="90">
        <f>IFERROR(IF(F38="正常工资薪金",VLOOKUP(D38&amp;"*",个税上月累计情况!E:AL,26,0),0),0)</f>
        <v>56589.68</v>
      </c>
      <c r="AY38" s="90">
        <f>IFERROR(IF(F38="正常工资薪金",VLOOKUP(D38&amp;"*",个税上月累计情况!E:AL,27,0),0),0)</f>
        <v>35000</v>
      </c>
      <c r="AZ38" s="90">
        <f>IFERROR(IF(F38="正常工资薪金",VLOOKUP(D38&amp;"*",个税上月累计情况!E:AL,28,0),0),0)</f>
        <v>8085.07</v>
      </c>
      <c r="BA38" s="90">
        <f>IFERROR(IF(F38="正常工资薪金",VLOOKUP(D38&amp;"*",个税上月累计情况!E:AL,29,0),0),0)</f>
        <v>0</v>
      </c>
      <c r="BB38" s="90">
        <f>IFERROR(IF(F38="正常工资薪金",VLOOKUP(D38&amp;"*",个税上月累计情况!E:AL,30,0),0),0)</f>
        <v>0</v>
      </c>
      <c r="BC38" s="90">
        <f>IFERROR(IF(F38="正常工资薪金",VLOOKUP(D38&amp;"*",个税上月累计情况!E:AL,31,0),0),0)</f>
        <v>0</v>
      </c>
      <c r="BD38" s="90">
        <f>IFERROR(IF(F38="正常工资薪金",VLOOKUP(D38&amp;"*",个税上月累计情况!E:AL,32,0),0),0)</f>
        <v>0</v>
      </c>
      <c r="BE38" s="90">
        <f>IFERROR(IF(F38="正常工资薪金",VLOOKUP(D38&amp;"*",个税上月累计情况!E:AL,33,0),0),0)</f>
        <v>0</v>
      </c>
      <c r="BF38" s="90">
        <f>IFERROR(IF(F38="正常工资薪金",VLOOKUP(D38&amp;"*",个税上月累计情况!E:AL,34,0),0),0)</f>
        <v>0</v>
      </c>
      <c r="BG38" s="90">
        <f>IFERROR(IF(F38="正常工资薪金",VLOOKUP(D38&amp;"*",个税上月累计情况!E:AN,35,0),0),0)</f>
        <v>0</v>
      </c>
      <c r="BH38" s="90">
        <f>IFERROR(IF(F38="正常工资薪金",VLOOKUP(D38&amp;"*",个税上月累计情况!E:AN,36,0),0),0)</f>
        <v>0</v>
      </c>
      <c r="BI38" s="90">
        <f>IFERROR(IF(F38="正常工资薪金",VLOOKUP(D38&amp;"*",个税上月累计情况!D:AW,46,0),0),0)</f>
        <v>331.5</v>
      </c>
      <c r="BJ38" s="90">
        <f>IFERROR(IF(F38="正常工资薪金",VLOOKUP(D38&amp;"*",个税上月累计情况!D:AX,47,0),0),0)</f>
        <v>73.64</v>
      </c>
      <c r="BK38" t="e">
        <f>VLOOKUP(B38,花名册!C:N,12,0)</f>
        <v>#N/A</v>
      </c>
    </row>
    <row r="39" ht="19.5" hidden="1" spans="1:63">
      <c r="A39" s="87"/>
      <c r="B39" s="87" t="s">
        <v>341</v>
      </c>
      <c r="C39" s="87" t="s">
        <v>268</v>
      </c>
      <c r="D39" s="87" t="s">
        <v>342</v>
      </c>
      <c r="E39" s="87" t="s">
        <v>270</v>
      </c>
      <c r="F39" s="87" t="s">
        <v>271</v>
      </c>
      <c r="G39" s="89" t="e" cm="1">
        <f t="array" ref="G39">_xlfn.IFS(F39="正常工资薪金",VLOOKUP(D39&amp;"*",工资表明细!D:BL,61,0),F39="一般劳务报酬所得",VLOOKUP(D39&amp;"*",工资表明细!D:BJ,59,0),F39="全年一次性奖金收入",VLOOKUP(D39&amp;"*",工资表明细!D:BI,58,0),F39="解除劳动合同一次性补偿金",VLOOKUP(D39&amp;"*",工资表明细!D:BH,57,0))</f>
        <v>#N/A</v>
      </c>
      <c r="H39" s="89">
        <f t="shared" si="0"/>
        <v>0</v>
      </c>
      <c r="I39" s="89">
        <v>0</v>
      </c>
      <c r="J39" s="89">
        <f t="shared" si="1"/>
        <v>5000</v>
      </c>
      <c r="K39" s="89" t="e">
        <f>IF(F39="正常工资薪金",VLOOKUP(D39&amp;"*",工资表明细!D:AP,39,0),0)</f>
        <v>#N/A</v>
      </c>
      <c r="L39" s="89" t="e">
        <f>IF(F39="正常工资薪金",VLOOKUP(D39&amp;"*",工资表明细!D:AQ,40,0),0)</f>
        <v>#N/A</v>
      </c>
      <c r="M39" s="89" t="e">
        <f>IF(F39="正常工资薪金",VLOOKUP(D39&amp;"*",工资表明细!D:AR,41,0),0)</f>
        <v>#N/A</v>
      </c>
      <c r="N39" s="89" t="e">
        <f>IF(F39="正常工资薪金",VLOOKUP(D39&amp;"*",工资表明细!D:AT,43,0),0)</f>
        <v>#N/A</v>
      </c>
      <c r="O39" s="89">
        <v>34</v>
      </c>
      <c r="P39" s="89">
        <v>34</v>
      </c>
      <c r="Q39" s="89">
        <v>34</v>
      </c>
      <c r="R39" s="89">
        <v>34</v>
      </c>
      <c r="S39" s="89">
        <v>34</v>
      </c>
      <c r="T39" s="89">
        <v>34</v>
      </c>
      <c r="U39" s="89">
        <v>34</v>
      </c>
      <c r="V39" s="89">
        <v>34</v>
      </c>
      <c r="W39" s="87" t="s">
        <v>272</v>
      </c>
      <c r="X39" s="89">
        <v>34</v>
      </c>
      <c r="Y39" s="87" t="s">
        <v>272</v>
      </c>
      <c r="Z39" s="87" t="s">
        <v>272</v>
      </c>
      <c r="AA39" s="87" t="s">
        <v>272</v>
      </c>
      <c r="AB39" s="89">
        <v>34</v>
      </c>
      <c r="AC39" s="89" t="e">
        <f t="shared" si="2"/>
        <v>#N/A</v>
      </c>
      <c r="AD39" s="89">
        <f t="shared" si="3"/>
        <v>40000</v>
      </c>
      <c r="AE39" s="89" t="e">
        <f t="shared" si="4"/>
        <v>#N/A</v>
      </c>
      <c r="AF39" s="89">
        <f t="shared" si="5"/>
        <v>0</v>
      </c>
      <c r="AG39" s="89">
        <f t="shared" si="6"/>
        <v>0</v>
      </c>
      <c r="AH39" s="89">
        <f t="shared" si="7"/>
        <v>0</v>
      </c>
      <c r="AI39" s="89">
        <f t="shared" si="8"/>
        <v>0</v>
      </c>
      <c r="AJ39" s="89">
        <f t="shared" si="9"/>
        <v>0</v>
      </c>
      <c r="AK39" s="89">
        <f t="shared" si="10"/>
        <v>0</v>
      </c>
      <c r="AL39" s="89">
        <v>0</v>
      </c>
      <c r="AM39" s="89">
        <v>0</v>
      </c>
      <c r="AN39" s="87" t="s">
        <v>273</v>
      </c>
      <c r="AO39" s="89">
        <v>0</v>
      </c>
      <c r="AP39" s="89" t="e">
        <f t="shared" si="11"/>
        <v>#N/A</v>
      </c>
      <c r="AQ39" s="89" t="e" cm="1">
        <f t="array" ref="AQ39">_xlfn.IFS(F39="正常工资薪金",VLOOKUP(AP39,{0,0.03;36000,0.1;144000,0.2;300000,0.25;420000,0.3;660000,0.35;960000,0.45},2,1),F39="一般劳务报酬所得",IF(AP39&lt;=20000,0.2,IF(AP39&lt;=50000,0.3,0.4)),F39="全年一次性奖金收入",VLOOKUP(AP39/12,{0,0.03;3000,0.1;12000,0.2;25000,0.25;35000,0.3;55000,0.35;80000,0.45},2,1),F39="解除劳动合同一次性补偿金",VLOOKUP(AP39,{0,0.03;36000,0.1;144000,0.2;300000,0.25;420000,0.3;660000,0.35;960000,0.45},2,1))</f>
        <v>#N/A</v>
      </c>
      <c r="AR39" s="89" t="e" cm="1">
        <f t="array" ref="AR39">_xlfn.IFS(F39="正常工资薪金",VLOOKUP(AP39,{0,0;36000,2520;144000,16920;300000,31920;420000,52920;660000,85920;960000,181920},2,1),F39="一般劳务报酬所得",IF(AP39&lt;=20000,0,IF(AS&lt;=50000,2000,7000)),F39="全年一次性奖金收入",VLOOKUP(AP39/12,{0,0;3000,210;12000,1410;25000,2660;35000,4410;55000,7160;80000,15160},2,1),F39="解除劳动合同一次性补偿金",VLOOKUP(AP39,{0,0;36000,2520;144000,16920;300000,31920;420000,52920;660000,85920;960000,181920},2,1))</f>
        <v>#N/A</v>
      </c>
      <c r="AS39" s="89" t="e">
        <f t="shared" si="12"/>
        <v>#N/A</v>
      </c>
      <c r="AT39" s="89">
        <v>0</v>
      </c>
      <c r="AU39" s="89">
        <f t="shared" si="13"/>
        <v>306.31</v>
      </c>
      <c r="AV39" s="89" t="e">
        <f t="shared" si="14"/>
        <v>#N/A</v>
      </c>
      <c r="AW39" s="87"/>
      <c r="AX39" s="90">
        <f>IFERROR(IF(F39="正常工资薪金",VLOOKUP(D39&amp;"*",个税上月累计情况!E:AL,26,0),0),0)</f>
        <v>51115.17</v>
      </c>
      <c r="AY39" s="90">
        <f>IFERROR(IF(F39="正常工资薪金",VLOOKUP(D39&amp;"*",个税上月累计情况!E:AL,27,0),0),0)</f>
        <v>35000</v>
      </c>
      <c r="AZ39" s="90">
        <f>IFERROR(IF(F39="正常工资薪金",VLOOKUP(D39&amp;"*",个税上月累计情况!E:AL,28,0),0),0)</f>
        <v>5904.71</v>
      </c>
      <c r="BA39" s="90">
        <f>IFERROR(IF(F39="正常工资薪金",VLOOKUP(D39&amp;"*",个税上月累计情况!E:AL,29,0),0),0)</f>
        <v>0</v>
      </c>
      <c r="BB39" s="90">
        <f>IFERROR(IF(F39="正常工资薪金",VLOOKUP(D39&amp;"*",个税上月累计情况!E:AL,30,0),0),0)</f>
        <v>0</v>
      </c>
      <c r="BC39" s="90">
        <f>IFERROR(IF(F39="正常工资薪金",VLOOKUP(D39&amp;"*",个税上月累计情况!E:AL,31,0),0),0)</f>
        <v>0</v>
      </c>
      <c r="BD39" s="90">
        <f>IFERROR(IF(F39="正常工资薪金",VLOOKUP(D39&amp;"*",个税上月累计情况!E:AL,32,0),0),0)</f>
        <v>0</v>
      </c>
      <c r="BE39" s="90">
        <f>IFERROR(IF(F39="正常工资薪金",VLOOKUP(D39&amp;"*",个税上月累计情况!E:AL,33,0),0),0)</f>
        <v>0</v>
      </c>
      <c r="BF39" s="90">
        <f>IFERROR(IF(F39="正常工资薪金",VLOOKUP(D39&amp;"*",个税上月累计情况!E:AL,34,0),0),0)</f>
        <v>0</v>
      </c>
      <c r="BG39" s="90">
        <f>IFERROR(IF(F39="正常工资薪金",VLOOKUP(D39&amp;"*",个税上月累计情况!E:AN,35,0),0),0)</f>
        <v>0</v>
      </c>
      <c r="BH39" s="90">
        <f>IFERROR(IF(F39="正常工资薪金",VLOOKUP(D39&amp;"*",个税上月累计情况!E:AN,36,0),0),0)</f>
        <v>0</v>
      </c>
      <c r="BI39" s="90">
        <f>IFERROR(IF(F39="正常工资薪金",VLOOKUP(D39&amp;"*",个税上月累计情况!D:AW,46,0),0),0)</f>
        <v>265.62</v>
      </c>
      <c r="BJ39" s="90">
        <f>IFERROR(IF(F39="正常工资薪金",VLOOKUP(D39&amp;"*",个税上月累计情况!D:AX,47,0),0),0)</f>
        <v>40.69</v>
      </c>
      <c r="BK39" t="e">
        <f>VLOOKUP(B39,花名册!C:N,12,0)</f>
        <v>#N/A</v>
      </c>
    </row>
    <row r="40" ht="19.5" hidden="1" spans="1:63">
      <c r="A40" s="87"/>
      <c r="B40" s="87" t="s">
        <v>343</v>
      </c>
      <c r="C40" s="87" t="s">
        <v>268</v>
      </c>
      <c r="D40" s="87" t="s">
        <v>344</v>
      </c>
      <c r="E40" s="87" t="s">
        <v>270</v>
      </c>
      <c r="F40" s="87" t="s">
        <v>271</v>
      </c>
      <c r="G40" s="89" t="e" cm="1">
        <f t="array" ref="G40">_xlfn.IFS(F40="正常工资薪金",VLOOKUP(D40&amp;"*",工资表明细!D:BL,61,0),F40="一般劳务报酬所得",VLOOKUP(D40&amp;"*",工资表明细!D:BJ,59,0),F40="全年一次性奖金收入",VLOOKUP(D40&amp;"*",工资表明细!D:BI,58,0),F40="解除劳动合同一次性补偿金",VLOOKUP(D40&amp;"*",工资表明细!D:BH,57,0))</f>
        <v>#N/A</v>
      </c>
      <c r="H40" s="89">
        <f t="shared" si="0"/>
        <v>0</v>
      </c>
      <c r="I40" s="89">
        <v>0</v>
      </c>
      <c r="J40" s="89">
        <f t="shared" si="1"/>
        <v>5000</v>
      </c>
      <c r="K40" s="89" t="e">
        <f>IF(F40="正常工资薪金",VLOOKUP(D40&amp;"*",工资表明细!D:AP,39,0),0)</f>
        <v>#N/A</v>
      </c>
      <c r="L40" s="89" t="e">
        <f>IF(F40="正常工资薪金",VLOOKUP(D40&amp;"*",工资表明细!D:AQ,40,0),0)</f>
        <v>#N/A</v>
      </c>
      <c r="M40" s="89" t="e">
        <f>IF(F40="正常工资薪金",VLOOKUP(D40&amp;"*",工资表明细!D:AR,41,0),0)</f>
        <v>#N/A</v>
      </c>
      <c r="N40" s="89" t="e">
        <f>IF(F40="正常工资薪金",VLOOKUP(D40&amp;"*",工资表明细!D:AT,43,0),0)</f>
        <v>#N/A</v>
      </c>
      <c r="O40" s="89">
        <v>35</v>
      </c>
      <c r="P40" s="89">
        <v>35</v>
      </c>
      <c r="Q40" s="89">
        <v>35</v>
      </c>
      <c r="R40" s="89">
        <v>35</v>
      </c>
      <c r="S40" s="89">
        <v>35</v>
      </c>
      <c r="T40" s="89">
        <v>35</v>
      </c>
      <c r="U40" s="89">
        <v>35</v>
      </c>
      <c r="V40" s="89">
        <v>35</v>
      </c>
      <c r="W40" s="87" t="s">
        <v>272</v>
      </c>
      <c r="X40" s="89">
        <v>35</v>
      </c>
      <c r="Y40" s="87" t="s">
        <v>272</v>
      </c>
      <c r="Z40" s="87" t="s">
        <v>272</v>
      </c>
      <c r="AA40" s="87" t="s">
        <v>272</v>
      </c>
      <c r="AB40" s="89">
        <v>35</v>
      </c>
      <c r="AC40" s="89" t="e">
        <f t="shared" si="2"/>
        <v>#N/A</v>
      </c>
      <c r="AD40" s="89">
        <f t="shared" si="3"/>
        <v>40000</v>
      </c>
      <c r="AE40" s="89" t="e">
        <f t="shared" si="4"/>
        <v>#N/A</v>
      </c>
      <c r="AF40" s="89">
        <f t="shared" si="5"/>
        <v>0</v>
      </c>
      <c r="AG40" s="89">
        <f t="shared" si="6"/>
        <v>0</v>
      </c>
      <c r="AH40" s="89">
        <f t="shared" si="7"/>
        <v>0</v>
      </c>
      <c r="AI40" s="89">
        <f t="shared" si="8"/>
        <v>0</v>
      </c>
      <c r="AJ40" s="89">
        <f t="shared" si="9"/>
        <v>0</v>
      </c>
      <c r="AK40" s="89">
        <f t="shared" si="10"/>
        <v>0</v>
      </c>
      <c r="AL40" s="89">
        <v>0</v>
      </c>
      <c r="AM40" s="89">
        <v>0</v>
      </c>
      <c r="AN40" s="87" t="s">
        <v>273</v>
      </c>
      <c r="AO40" s="89">
        <v>0</v>
      </c>
      <c r="AP40" s="89" t="e">
        <f t="shared" si="11"/>
        <v>#N/A</v>
      </c>
      <c r="AQ40" s="89" t="e" cm="1">
        <f t="array" ref="AQ40">_xlfn.IFS(F40="正常工资薪金",VLOOKUP(AP40,{0,0.03;36000,0.1;144000,0.2;300000,0.25;420000,0.3;660000,0.35;960000,0.45},2,1),F40="一般劳务报酬所得",IF(AP40&lt;=20000,0.2,IF(AP40&lt;=50000,0.3,0.4)),F40="全年一次性奖金收入",VLOOKUP(AP40/12,{0,0.03;3000,0.1;12000,0.2;25000,0.25;35000,0.3;55000,0.35;80000,0.45},2,1),F40="解除劳动合同一次性补偿金",VLOOKUP(AP40,{0,0.03;36000,0.1;144000,0.2;300000,0.25;420000,0.3;660000,0.35;960000,0.45},2,1))</f>
        <v>#N/A</v>
      </c>
      <c r="AR40" s="89" t="e" cm="1">
        <f t="array" ref="AR40">_xlfn.IFS(F40="正常工资薪金",VLOOKUP(AP40,{0,0;36000,2520;144000,16920;300000,31920;420000,52920;660000,85920;960000,181920},2,1),F40="一般劳务报酬所得",IF(AP40&lt;=20000,0,IF(AS&lt;=50000,2000,7000)),F40="全年一次性奖金收入",VLOOKUP(AP40/12,{0,0;3000,210;12000,1410;25000,2660;35000,4410;55000,7160;80000,15160},2,1),F40="解除劳动合同一次性补偿金",VLOOKUP(AP40,{0,0;36000,2520;144000,16920;300000,31920;420000,52920;660000,85920;960000,181920},2,1))</f>
        <v>#N/A</v>
      </c>
      <c r="AS40" s="89" t="e">
        <f t="shared" si="12"/>
        <v>#N/A</v>
      </c>
      <c r="AT40" s="89">
        <v>0</v>
      </c>
      <c r="AU40" s="89">
        <f t="shared" si="13"/>
        <v>0</v>
      </c>
      <c r="AV40" s="89" t="e">
        <f t="shared" si="14"/>
        <v>#N/A</v>
      </c>
      <c r="AW40" s="87"/>
      <c r="AX40" s="90">
        <f>IFERROR(IF(F40="正常工资薪金",VLOOKUP(D40&amp;"*",个税上月累计情况!E:AL,26,0),0),0)</f>
        <v>22222.22</v>
      </c>
      <c r="AY40" s="90">
        <f>IFERROR(IF(F40="正常工资薪金",VLOOKUP(D40&amp;"*",个税上月累计情况!E:AL,27,0),0),0)</f>
        <v>35000</v>
      </c>
      <c r="AZ40" s="90">
        <f>IFERROR(IF(F40="正常工资薪金",VLOOKUP(D40&amp;"*",个税上月累计情况!E:AL,28,0),0),0)</f>
        <v>4533.18</v>
      </c>
      <c r="BA40" s="90">
        <f>IFERROR(IF(F40="正常工资薪金",VLOOKUP(D40&amp;"*",个税上月累计情况!E:AL,29,0),0),0)</f>
        <v>0</v>
      </c>
      <c r="BB40" s="90">
        <f>IFERROR(IF(F40="正常工资薪金",VLOOKUP(D40&amp;"*",个税上月累计情况!E:AL,30,0),0),0)</f>
        <v>0</v>
      </c>
      <c r="BC40" s="90">
        <f>IFERROR(IF(F40="正常工资薪金",VLOOKUP(D40&amp;"*",个税上月累计情况!E:AL,31,0),0),0)</f>
        <v>0</v>
      </c>
      <c r="BD40" s="90">
        <f>IFERROR(IF(F40="正常工资薪金",VLOOKUP(D40&amp;"*",个税上月累计情况!E:AL,32,0),0),0)</f>
        <v>0</v>
      </c>
      <c r="BE40" s="90">
        <f>IFERROR(IF(F40="正常工资薪金",VLOOKUP(D40&amp;"*",个税上月累计情况!E:AL,33,0),0),0)</f>
        <v>0</v>
      </c>
      <c r="BF40" s="90">
        <f>IFERROR(IF(F40="正常工资薪金",VLOOKUP(D40&amp;"*",个税上月累计情况!E:AL,34,0),0),0)</f>
        <v>0</v>
      </c>
      <c r="BG40" s="90">
        <f>IFERROR(IF(F40="正常工资薪金",VLOOKUP(D40&amp;"*",个税上月累计情况!E:AN,35,0),0),0)</f>
        <v>0</v>
      </c>
      <c r="BH40" s="90">
        <f>IFERROR(IF(F40="正常工资薪金",VLOOKUP(D40&amp;"*",个税上月累计情况!E:AN,36,0),0),0)</f>
        <v>0</v>
      </c>
      <c r="BI40" s="90">
        <f>IFERROR(IF(F40="正常工资薪金",VLOOKUP(D40&amp;"*",个税上月累计情况!D:AW,46,0),0),0)</f>
        <v>0</v>
      </c>
      <c r="BJ40" s="90">
        <f>IFERROR(IF(F40="正常工资薪金",VLOOKUP(D40&amp;"*",个税上月累计情况!D:AX,47,0),0),0)</f>
        <v>0</v>
      </c>
      <c r="BK40" t="e">
        <f>VLOOKUP(B40,花名册!C:N,12,0)</f>
        <v>#N/A</v>
      </c>
    </row>
    <row r="41" ht="19.5" hidden="1" spans="1:63">
      <c r="A41" s="87"/>
      <c r="B41" s="87" t="s">
        <v>345</v>
      </c>
      <c r="C41" s="87" t="s">
        <v>268</v>
      </c>
      <c r="D41" s="87" t="s">
        <v>346</v>
      </c>
      <c r="E41" s="87" t="s">
        <v>270</v>
      </c>
      <c r="F41" s="87" t="s">
        <v>271</v>
      </c>
      <c r="G41" s="89" t="e" cm="1">
        <f t="array" ref="G41">_xlfn.IFS(F41="正常工资薪金",VLOOKUP(D41&amp;"*",工资表明细!D:BL,61,0),F41="一般劳务报酬所得",VLOOKUP(D41&amp;"*",工资表明细!D:BJ,59,0),F41="全年一次性奖金收入",VLOOKUP(D41&amp;"*",工资表明细!D:BI,58,0),F41="解除劳动合同一次性补偿金",VLOOKUP(D41&amp;"*",工资表明细!D:BH,57,0))</f>
        <v>#N/A</v>
      </c>
      <c r="H41" s="89">
        <f t="shared" si="0"/>
        <v>0</v>
      </c>
      <c r="I41" s="89">
        <v>0</v>
      </c>
      <c r="J41" s="89">
        <f t="shared" si="1"/>
        <v>5000</v>
      </c>
      <c r="K41" s="89" t="e">
        <f>IF(F41="正常工资薪金",VLOOKUP(D41&amp;"*",工资表明细!D:AP,39,0),0)</f>
        <v>#N/A</v>
      </c>
      <c r="L41" s="89" t="e">
        <f>IF(F41="正常工资薪金",VLOOKUP(D41&amp;"*",工资表明细!D:AQ,40,0),0)</f>
        <v>#N/A</v>
      </c>
      <c r="M41" s="89" t="e">
        <f>IF(F41="正常工资薪金",VLOOKUP(D41&amp;"*",工资表明细!D:AR,41,0),0)</f>
        <v>#N/A</v>
      </c>
      <c r="N41" s="89" t="e">
        <f>IF(F41="正常工资薪金",VLOOKUP(D41&amp;"*",工资表明细!D:AT,43,0),0)</f>
        <v>#N/A</v>
      </c>
      <c r="O41" s="89">
        <v>36</v>
      </c>
      <c r="P41" s="89">
        <v>36</v>
      </c>
      <c r="Q41" s="89">
        <v>36</v>
      </c>
      <c r="R41" s="89">
        <v>36</v>
      </c>
      <c r="S41" s="89">
        <v>36</v>
      </c>
      <c r="T41" s="89">
        <v>36</v>
      </c>
      <c r="U41" s="89">
        <v>36</v>
      </c>
      <c r="V41" s="89">
        <v>36</v>
      </c>
      <c r="W41" s="87" t="s">
        <v>272</v>
      </c>
      <c r="X41" s="89">
        <v>36</v>
      </c>
      <c r="Y41" s="87" t="s">
        <v>272</v>
      </c>
      <c r="Z41" s="87" t="s">
        <v>272</v>
      </c>
      <c r="AA41" s="87" t="s">
        <v>272</v>
      </c>
      <c r="AB41" s="89">
        <v>36</v>
      </c>
      <c r="AC41" s="89" t="e">
        <f t="shared" si="2"/>
        <v>#N/A</v>
      </c>
      <c r="AD41" s="89">
        <f t="shared" si="3"/>
        <v>40000</v>
      </c>
      <c r="AE41" s="89" t="e">
        <f t="shared" si="4"/>
        <v>#N/A</v>
      </c>
      <c r="AF41" s="89">
        <f t="shared" si="5"/>
        <v>0</v>
      </c>
      <c r="AG41" s="89">
        <f t="shared" si="6"/>
        <v>0</v>
      </c>
      <c r="AH41" s="89">
        <f t="shared" si="7"/>
        <v>0</v>
      </c>
      <c r="AI41" s="89">
        <f t="shared" si="8"/>
        <v>0</v>
      </c>
      <c r="AJ41" s="89">
        <f t="shared" si="9"/>
        <v>0</v>
      </c>
      <c r="AK41" s="89">
        <f t="shared" si="10"/>
        <v>0</v>
      </c>
      <c r="AL41" s="89">
        <v>0</v>
      </c>
      <c r="AM41" s="89">
        <v>0</v>
      </c>
      <c r="AN41" s="87" t="s">
        <v>273</v>
      </c>
      <c r="AO41" s="89">
        <v>0</v>
      </c>
      <c r="AP41" s="89" t="e">
        <f t="shared" si="11"/>
        <v>#N/A</v>
      </c>
      <c r="AQ41" s="89" t="e" cm="1">
        <f t="array" ref="AQ41">_xlfn.IFS(F41="正常工资薪金",VLOOKUP(AP41,{0,0.03;36000,0.1;144000,0.2;300000,0.25;420000,0.3;660000,0.35;960000,0.45},2,1),F41="一般劳务报酬所得",IF(AP41&lt;=20000,0.2,IF(AP41&lt;=50000,0.3,0.4)),F41="全年一次性奖金收入",VLOOKUP(AP41/12,{0,0.03;3000,0.1;12000,0.2;25000,0.25;35000,0.3;55000,0.35;80000,0.45},2,1),F41="解除劳动合同一次性补偿金",VLOOKUP(AP41,{0,0.03;36000,0.1;144000,0.2;300000,0.25;420000,0.3;660000,0.35;960000,0.45},2,1))</f>
        <v>#N/A</v>
      </c>
      <c r="AR41" s="89" t="e" cm="1">
        <f t="array" ref="AR41">_xlfn.IFS(F41="正常工资薪金",VLOOKUP(AP41,{0,0;36000,2520;144000,16920;300000,31920;420000,52920;660000,85920;960000,181920},2,1),F41="一般劳务报酬所得",IF(AP41&lt;=20000,0,IF(AS&lt;=50000,2000,7000)),F41="全年一次性奖金收入",VLOOKUP(AP41/12,{0,0;3000,210;12000,1410;25000,2660;35000,4410;55000,7160;80000,15160},2,1),F41="解除劳动合同一次性补偿金",VLOOKUP(AP41,{0,0;36000,2520;144000,16920;300000,31920;420000,52920;660000,85920;960000,181920},2,1))</f>
        <v>#N/A</v>
      </c>
      <c r="AS41" s="89" t="e">
        <f t="shared" si="12"/>
        <v>#N/A</v>
      </c>
      <c r="AT41" s="89">
        <v>0</v>
      </c>
      <c r="AU41" s="89">
        <f t="shared" si="13"/>
        <v>445.8</v>
      </c>
      <c r="AV41" s="89" t="e">
        <f t="shared" si="14"/>
        <v>#N/A</v>
      </c>
      <c r="AW41" s="87"/>
      <c r="AX41" s="90">
        <f>IFERROR(IF(F41="正常工资薪金",VLOOKUP(D41&amp;"*",个税上月累计情况!E:AL,26,0),0),0)</f>
        <v>56000</v>
      </c>
      <c r="AY41" s="90">
        <f>IFERROR(IF(F41="正常工资薪金",VLOOKUP(D41&amp;"*",个税上月累计情况!E:AL,27,0),0),0)</f>
        <v>35000</v>
      </c>
      <c r="AZ41" s="90">
        <f>IFERROR(IF(F41="正常工资薪金",VLOOKUP(D41&amp;"*",个税上月累计情况!E:AL,28,0),0),0)</f>
        <v>6140.05</v>
      </c>
      <c r="BA41" s="90">
        <f>IFERROR(IF(F41="正常工资薪金",VLOOKUP(D41&amp;"*",个税上月累计情况!E:AL,29,0),0),0)</f>
        <v>0</v>
      </c>
      <c r="BB41" s="90">
        <f>IFERROR(IF(F41="正常工资薪金",VLOOKUP(D41&amp;"*",个税上月累计情况!E:AL,30,0),0),0)</f>
        <v>0</v>
      </c>
      <c r="BC41" s="90">
        <f>IFERROR(IF(F41="正常工资薪金",VLOOKUP(D41&amp;"*",个税上月累计情况!E:AL,31,0),0),0)</f>
        <v>0</v>
      </c>
      <c r="BD41" s="90">
        <f>IFERROR(IF(F41="正常工资薪金",VLOOKUP(D41&amp;"*",个税上月累计情况!E:AL,32,0),0),0)</f>
        <v>0</v>
      </c>
      <c r="BE41" s="90">
        <f>IFERROR(IF(F41="正常工资薪金",VLOOKUP(D41&amp;"*",个税上月累计情况!E:AL,33,0),0),0)</f>
        <v>0</v>
      </c>
      <c r="BF41" s="90">
        <f>IFERROR(IF(F41="正常工资薪金",VLOOKUP(D41&amp;"*",个税上月累计情况!E:AL,34,0),0),0)</f>
        <v>0</v>
      </c>
      <c r="BG41" s="90">
        <f>IFERROR(IF(F41="正常工资薪金",VLOOKUP(D41&amp;"*",个税上月累计情况!E:AN,35,0),0),0)</f>
        <v>0</v>
      </c>
      <c r="BH41" s="90">
        <f>IFERROR(IF(F41="正常工资薪金",VLOOKUP(D41&amp;"*",个税上月累计情况!E:AN,36,0),0),0)</f>
        <v>0</v>
      </c>
      <c r="BI41" s="90">
        <f>IFERROR(IF(F41="正常工资薪金",VLOOKUP(D41&amp;"*",个税上月累计情况!D:AW,46,0),0),0)</f>
        <v>382.11</v>
      </c>
      <c r="BJ41" s="90">
        <f>IFERROR(IF(F41="正常工资薪金",VLOOKUP(D41&amp;"*",个税上月累计情况!D:AX,47,0),0),0)</f>
        <v>63.69</v>
      </c>
      <c r="BK41" t="e">
        <f>VLOOKUP(B41,花名册!C:N,12,0)</f>
        <v>#N/A</v>
      </c>
    </row>
    <row r="42" ht="19.5" hidden="1" spans="1:63">
      <c r="A42" s="87"/>
      <c r="B42" s="87" t="s">
        <v>347</v>
      </c>
      <c r="C42" s="87" t="s">
        <v>268</v>
      </c>
      <c r="D42" s="224" t="s">
        <v>348</v>
      </c>
      <c r="E42" s="87" t="s">
        <v>270</v>
      </c>
      <c r="F42" s="87" t="s">
        <v>271</v>
      </c>
      <c r="G42" s="89" t="e" cm="1">
        <f t="array" ref="G42">_xlfn.IFS(F42="正常工资薪金",VLOOKUP(D42&amp;"*",工资表明细!D:BL,61,0),F42="一般劳务报酬所得",VLOOKUP(D42&amp;"*",工资表明细!D:BJ,59,0),F42="全年一次性奖金收入",VLOOKUP(D42&amp;"*",工资表明细!D:BI,58,0),F42="解除劳动合同一次性补偿金",VLOOKUP(D42&amp;"*",工资表明细!D:BH,57,0))</f>
        <v>#N/A</v>
      </c>
      <c r="H42" s="89">
        <f t="shared" si="0"/>
        <v>0</v>
      </c>
      <c r="I42" s="89">
        <v>0</v>
      </c>
      <c r="J42" s="89">
        <f t="shared" si="1"/>
        <v>5000</v>
      </c>
      <c r="K42" s="89" t="e">
        <f>IF(F42="正常工资薪金",VLOOKUP(D42&amp;"*",工资表明细!D:AP,39,0),0)</f>
        <v>#N/A</v>
      </c>
      <c r="L42" s="89" t="e">
        <f>IF(F42="正常工资薪金",VLOOKUP(D42&amp;"*",工资表明细!D:AQ,40,0),0)</f>
        <v>#N/A</v>
      </c>
      <c r="M42" s="89" t="e">
        <f>IF(F42="正常工资薪金",VLOOKUP(D42&amp;"*",工资表明细!D:AR,41,0),0)</f>
        <v>#N/A</v>
      </c>
      <c r="N42" s="89" t="e">
        <f>IF(F42="正常工资薪金",VLOOKUP(D42&amp;"*",工资表明细!D:AT,43,0),0)</f>
        <v>#N/A</v>
      </c>
      <c r="O42" s="89">
        <v>37</v>
      </c>
      <c r="P42" s="89">
        <v>37</v>
      </c>
      <c r="Q42" s="89">
        <v>37</v>
      </c>
      <c r="R42" s="89">
        <v>37</v>
      </c>
      <c r="S42" s="89">
        <v>37</v>
      </c>
      <c r="T42" s="89">
        <v>37</v>
      </c>
      <c r="U42" s="89">
        <v>37</v>
      </c>
      <c r="V42" s="89">
        <v>37</v>
      </c>
      <c r="W42" s="87" t="s">
        <v>272</v>
      </c>
      <c r="X42" s="89">
        <v>37</v>
      </c>
      <c r="Y42" s="87" t="s">
        <v>272</v>
      </c>
      <c r="Z42" s="87" t="s">
        <v>272</v>
      </c>
      <c r="AA42" s="87" t="s">
        <v>272</v>
      </c>
      <c r="AB42" s="89">
        <v>37</v>
      </c>
      <c r="AC42" s="89" t="e">
        <f t="shared" si="2"/>
        <v>#N/A</v>
      </c>
      <c r="AD42" s="89">
        <f t="shared" si="3"/>
        <v>40000</v>
      </c>
      <c r="AE42" s="89" t="e">
        <f t="shared" si="4"/>
        <v>#N/A</v>
      </c>
      <c r="AF42" s="89">
        <f t="shared" si="5"/>
        <v>0</v>
      </c>
      <c r="AG42" s="89">
        <f t="shared" si="6"/>
        <v>0</v>
      </c>
      <c r="AH42" s="89">
        <f t="shared" si="7"/>
        <v>0</v>
      </c>
      <c r="AI42" s="89">
        <f t="shared" si="8"/>
        <v>0</v>
      </c>
      <c r="AJ42" s="89">
        <f t="shared" si="9"/>
        <v>0</v>
      </c>
      <c r="AK42" s="89">
        <f t="shared" si="10"/>
        <v>0</v>
      </c>
      <c r="AL42" s="89">
        <v>0</v>
      </c>
      <c r="AM42" s="89">
        <v>0</v>
      </c>
      <c r="AN42" s="87" t="s">
        <v>273</v>
      </c>
      <c r="AO42" s="89">
        <v>0</v>
      </c>
      <c r="AP42" s="89" t="e">
        <f t="shared" si="11"/>
        <v>#N/A</v>
      </c>
      <c r="AQ42" s="89" t="e" cm="1">
        <f t="array" ref="AQ42">_xlfn.IFS(F42="正常工资薪金",VLOOKUP(AP42,{0,0.03;36000,0.1;144000,0.2;300000,0.25;420000,0.3;660000,0.35;960000,0.45},2,1),F42="一般劳务报酬所得",IF(AP42&lt;=20000,0.2,IF(AP42&lt;=50000,0.3,0.4)),F42="全年一次性奖金收入",VLOOKUP(AP42/12,{0,0.03;3000,0.1;12000,0.2;25000,0.25;35000,0.3;55000,0.35;80000,0.45},2,1),F42="解除劳动合同一次性补偿金",VLOOKUP(AP42,{0,0.03;36000,0.1;144000,0.2;300000,0.25;420000,0.3;660000,0.35;960000,0.45},2,1))</f>
        <v>#N/A</v>
      </c>
      <c r="AR42" s="89" t="e" cm="1">
        <f t="array" ref="AR42">_xlfn.IFS(F42="正常工资薪金",VLOOKUP(AP42,{0,0;36000,2520;144000,16920;300000,31920;420000,52920;660000,85920;960000,181920},2,1),F42="一般劳务报酬所得",IF(AP42&lt;=20000,0,IF(AS&lt;=50000,2000,7000)),F42="全年一次性奖金收入",VLOOKUP(AP42/12,{0,0;3000,210;12000,1410;25000,2660;35000,4410;55000,7160;80000,15160},2,1),F42="解除劳动合同一次性补偿金",VLOOKUP(AP42,{0,0;36000,2520;144000,16920;300000,31920;420000,52920;660000,85920;960000,181920},2,1))</f>
        <v>#N/A</v>
      </c>
      <c r="AS42" s="89" t="e">
        <f t="shared" si="12"/>
        <v>#N/A</v>
      </c>
      <c r="AT42" s="89">
        <v>0</v>
      </c>
      <c r="AU42" s="89">
        <f t="shared" si="13"/>
        <v>428.28</v>
      </c>
      <c r="AV42" s="89" t="e">
        <f t="shared" si="14"/>
        <v>#N/A</v>
      </c>
      <c r="AW42" s="87"/>
      <c r="AX42" s="90">
        <f>IFERROR(IF(F42="正常工资薪金",VLOOKUP(D42&amp;"*",个税上月累计情况!E:AL,26,0),0),0)</f>
        <v>55391.21</v>
      </c>
      <c r="AY42" s="90">
        <f>IFERROR(IF(F42="正常工资薪金",VLOOKUP(D42&amp;"*",个税上月累计情况!E:AL,27,0),0),0)</f>
        <v>35000</v>
      </c>
      <c r="AZ42" s="90">
        <f>IFERROR(IF(F42="正常工资薪金",VLOOKUP(D42&amp;"*",个税上月累计情况!E:AL,28,0),0),0)</f>
        <v>6115.18</v>
      </c>
      <c r="BA42" s="90">
        <f>IFERROR(IF(F42="正常工资薪金",VLOOKUP(D42&amp;"*",个税上月累计情况!E:AL,29,0),0),0)</f>
        <v>0</v>
      </c>
      <c r="BB42" s="90">
        <f>IFERROR(IF(F42="正常工资薪金",VLOOKUP(D42&amp;"*",个税上月累计情况!E:AL,30,0),0),0)</f>
        <v>0</v>
      </c>
      <c r="BC42" s="90">
        <f>IFERROR(IF(F42="正常工资薪金",VLOOKUP(D42&amp;"*",个税上月累计情况!E:AL,31,0),0),0)</f>
        <v>0</v>
      </c>
      <c r="BD42" s="90">
        <f>IFERROR(IF(F42="正常工资薪金",VLOOKUP(D42&amp;"*",个税上月累计情况!E:AL,32,0),0),0)</f>
        <v>0</v>
      </c>
      <c r="BE42" s="90">
        <f>IFERROR(IF(F42="正常工资薪金",VLOOKUP(D42&amp;"*",个税上月累计情况!E:AL,33,0),0),0)</f>
        <v>0</v>
      </c>
      <c r="BF42" s="90">
        <f>IFERROR(IF(F42="正常工资薪金",VLOOKUP(D42&amp;"*",个税上月累计情况!E:AL,34,0),0),0)</f>
        <v>0</v>
      </c>
      <c r="BG42" s="90">
        <f>IFERROR(IF(F42="正常工资薪金",VLOOKUP(D42&amp;"*",个税上月累计情况!E:AN,35,0),0),0)</f>
        <v>0</v>
      </c>
      <c r="BH42" s="90">
        <f>IFERROR(IF(F42="正常工资薪金",VLOOKUP(D42&amp;"*",个税上月累计情况!E:AN,36,0),0),0)</f>
        <v>0</v>
      </c>
      <c r="BI42" s="90">
        <f>IFERROR(IF(F42="正常工资薪金",VLOOKUP(D42&amp;"*",个税上月累计情况!D:AW,46,0),0),0)</f>
        <v>365.39</v>
      </c>
      <c r="BJ42" s="90">
        <f>IFERROR(IF(F42="正常工资薪金",VLOOKUP(D42&amp;"*",个税上月累计情况!D:AX,47,0),0),0)</f>
        <v>62.89</v>
      </c>
      <c r="BK42" t="e">
        <f>VLOOKUP(B42,花名册!C:N,12,0)</f>
        <v>#N/A</v>
      </c>
    </row>
    <row r="43" ht="19.5" hidden="1" spans="1:63">
      <c r="A43" s="87"/>
      <c r="B43" s="87" t="s">
        <v>349</v>
      </c>
      <c r="C43" s="87" t="s">
        <v>268</v>
      </c>
      <c r="D43" s="224" t="s">
        <v>350</v>
      </c>
      <c r="E43" s="87" t="s">
        <v>270</v>
      </c>
      <c r="F43" s="87" t="s">
        <v>271</v>
      </c>
      <c r="G43" s="89" t="e" cm="1">
        <f t="array" ref="G43">_xlfn.IFS(F43="正常工资薪金",VLOOKUP(D43&amp;"*",工资表明细!D:BL,61,0),F43="一般劳务报酬所得",VLOOKUP(D43&amp;"*",工资表明细!D:BJ,59,0),F43="全年一次性奖金收入",VLOOKUP(D43&amp;"*",工资表明细!D:BI,58,0),F43="解除劳动合同一次性补偿金",VLOOKUP(D43&amp;"*",工资表明细!D:BH,57,0))</f>
        <v>#N/A</v>
      </c>
      <c r="H43" s="89">
        <f t="shared" si="0"/>
        <v>0</v>
      </c>
      <c r="I43" s="89">
        <v>0</v>
      </c>
      <c r="J43" s="89">
        <f t="shared" si="1"/>
        <v>5000</v>
      </c>
      <c r="K43" s="89" t="e">
        <f>IF(F43="正常工资薪金",VLOOKUP(D43&amp;"*",工资表明细!D:AP,39,0),0)</f>
        <v>#N/A</v>
      </c>
      <c r="L43" s="89" t="e">
        <f>IF(F43="正常工资薪金",VLOOKUP(D43&amp;"*",工资表明细!D:AQ,40,0),0)</f>
        <v>#N/A</v>
      </c>
      <c r="M43" s="89" t="e">
        <f>IF(F43="正常工资薪金",VLOOKUP(D43&amp;"*",工资表明细!D:AR,41,0),0)</f>
        <v>#N/A</v>
      </c>
      <c r="N43" s="89" t="e">
        <f>IF(F43="正常工资薪金",VLOOKUP(D43&amp;"*",工资表明细!D:AT,43,0),0)</f>
        <v>#N/A</v>
      </c>
      <c r="O43" s="89">
        <v>38</v>
      </c>
      <c r="P43" s="89">
        <v>38</v>
      </c>
      <c r="Q43" s="89">
        <v>38</v>
      </c>
      <c r="R43" s="89">
        <v>38</v>
      </c>
      <c r="S43" s="89">
        <v>38</v>
      </c>
      <c r="T43" s="89">
        <v>38</v>
      </c>
      <c r="U43" s="89">
        <v>38</v>
      </c>
      <c r="V43" s="89">
        <v>38</v>
      </c>
      <c r="W43" s="87" t="s">
        <v>272</v>
      </c>
      <c r="X43" s="89">
        <v>38</v>
      </c>
      <c r="Y43" s="87" t="s">
        <v>272</v>
      </c>
      <c r="Z43" s="87" t="s">
        <v>272</v>
      </c>
      <c r="AA43" s="87" t="s">
        <v>272</v>
      </c>
      <c r="AB43" s="89">
        <v>38</v>
      </c>
      <c r="AC43" s="89" t="e">
        <f t="shared" si="2"/>
        <v>#N/A</v>
      </c>
      <c r="AD43" s="89">
        <f t="shared" si="3"/>
        <v>40000</v>
      </c>
      <c r="AE43" s="89" t="e">
        <f t="shared" si="4"/>
        <v>#N/A</v>
      </c>
      <c r="AF43" s="89">
        <f t="shared" si="5"/>
        <v>0</v>
      </c>
      <c r="AG43" s="89">
        <f t="shared" si="6"/>
        <v>0</v>
      </c>
      <c r="AH43" s="89">
        <f t="shared" si="7"/>
        <v>0</v>
      </c>
      <c r="AI43" s="89">
        <f t="shared" si="8"/>
        <v>0</v>
      </c>
      <c r="AJ43" s="89">
        <f t="shared" si="9"/>
        <v>0</v>
      </c>
      <c r="AK43" s="89">
        <f t="shared" si="10"/>
        <v>0</v>
      </c>
      <c r="AL43" s="89">
        <v>0</v>
      </c>
      <c r="AM43" s="89">
        <v>0</v>
      </c>
      <c r="AN43" s="87" t="s">
        <v>273</v>
      </c>
      <c r="AO43" s="89">
        <v>0</v>
      </c>
      <c r="AP43" s="89" t="e">
        <f t="shared" si="11"/>
        <v>#N/A</v>
      </c>
      <c r="AQ43" s="89" t="e" cm="1">
        <f t="array" ref="AQ43">_xlfn.IFS(F43="正常工资薪金",VLOOKUP(AP43,{0,0.03;36000,0.1;144000,0.2;300000,0.25;420000,0.3;660000,0.35;960000,0.45},2,1),F43="一般劳务报酬所得",IF(AP43&lt;=20000,0.2,IF(AP43&lt;=50000,0.3,0.4)),F43="全年一次性奖金收入",VLOOKUP(AP43/12,{0,0.03;3000,0.1;12000,0.2;25000,0.25;35000,0.3;55000,0.35;80000,0.45},2,1),F43="解除劳动合同一次性补偿金",VLOOKUP(AP43,{0,0.03;36000,0.1;144000,0.2;300000,0.25;420000,0.3;660000,0.35;960000,0.45},2,1))</f>
        <v>#N/A</v>
      </c>
      <c r="AR43" s="89" t="e" cm="1">
        <f t="array" ref="AR43">_xlfn.IFS(F43="正常工资薪金",VLOOKUP(AP43,{0,0;36000,2520;144000,16920;300000,31920;420000,52920;660000,85920;960000,181920},2,1),F43="一般劳务报酬所得",IF(AP43&lt;=20000,0,IF(AS&lt;=50000,2000,7000)),F43="全年一次性奖金收入",VLOOKUP(AP43/12,{0,0;3000,210;12000,1410;25000,2660;35000,4410;55000,7160;80000,15160},2,1),F43="解除劳动合同一次性补偿金",VLOOKUP(AP43,{0,0;36000,2520;144000,16920;300000,31920;420000,52920;660000,85920;960000,181920},2,1))</f>
        <v>#N/A</v>
      </c>
      <c r="AS43" s="89" t="e">
        <f t="shared" si="12"/>
        <v>#N/A</v>
      </c>
      <c r="AT43" s="89">
        <v>0</v>
      </c>
      <c r="AU43" s="89">
        <f t="shared" si="13"/>
        <v>394.67</v>
      </c>
      <c r="AV43" s="89" t="e">
        <f t="shared" si="14"/>
        <v>#N/A</v>
      </c>
      <c r="AW43" s="87"/>
      <c r="AX43" s="90">
        <f>IFERROR(IF(F43="正常工资薪金",VLOOKUP(D43&amp;"*",个税上月累计情况!E:AL,26,0),0),0)</f>
        <v>56240.74</v>
      </c>
      <c r="AY43" s="90">
        <f>IFERROR(IF(F43="正常工资薪金",VLOOKUP(D43&amp;"*",个税上月累计情况!E:AL,27,0),0),0)</f>
        <v>35000</v>
      </c>
      <c r="AZ43" s="90">
        <f>IFERROR(IF(F43="正常工资薪金",VLOOKUP(D43&amp;"*",个税上月累计情况!E:AL,28,0),0),0)</f>
        <v>8085.07</v>
      </c>
      <c r="BA43" s="90">
        <f>IFERROR(IF(F43="正常工资薪金",VLOOKUP(D43&amp;"*",个税上月累计情况!E:AL,29,0),0),0)</f>
        <v>0</v>
      </c>
      <c r="BB43" s="90">
        <f>IFERROR(IF(F43="正常工资薪金",VLOOKUP(D43&amp;"*",个税上月累计情况!E:AL,30,0),0),0)</f>
        <v>0</v>
      </c>
      <c r="BC43" s="90">
        <f>IFERROR(IF(F43="正常工资薪金",VLOOKUP(D43&amp;"*",个税上月累计情况!E:AL,31,0),0),0)</f>
        <v>0</v>
      </c>
      <c r="BD43" s="90">
        <f>IFERROR(IF(F43="正常工资薪金",VLOOKUP(D43&amp;"*",个税上月累计情况!E:AL,32,0),0),0)</f>
        <v>0</v>
      </c>
      <c r="BE43" s="90">
        <f>IFERROR(IF(F43="正常工资薪金",VLOOKUP(D43&amp;"*",个税上月累计情况!E:AL,33,0),0),0)</f>
        <v>0</v>
      </c>
      <c r="BF43" s="90">
        <f>IFERROR(IF(F43="正常工资薪金",VLOOKUP(D43&amp;"*",个税上月累计情况!E:AL,34,0),0),0)</f>
        <v>0</v>
      </c>
      <c r="BG43" s="90">
        <f>IFERROR(IF(F43="正常工资薪金",VLOOKUP(D43&amp;"*",个税上月累计情况!E:AN,35,0),0),0)</f>
        <v>0</v>
      </c>
      <c r="BH43" s="90">
        <f>IFERROR(IF(F43="正常工资薪金",VLOOKUP(D43&amp;"*",个税上月累计情况!E:AN,36,0),0),0)</f>
        <v>0</v>
      </c>
      <c r="BI43" s="90">
        <f>IFERROR(IF(F43="正常工资薪金",VLOOKUP(D43&amp;"*",个税上月累计情况!D:AW,46,0),0),0)</f>
        <v>337.82</v>
      </c>
      <c r="BJ43" s="90">
        <f>IFERROR(IF(F43="正常工资薪金",VLOOKUP(D43&amp;"*",个税上月累计情况!D:AX,47,0),0),0)</f>
        <v>56.85</v>
      </c>
      <c r="BK43" t="e">
        <f>VLOOKUP(B43,花名册!C:N,12,0)</f>
        <v>#N/A</v>
      </c>
    </row>
    <row r="44" ht="19.5" hidden="1" spans="1:63">
      <c r="A44" s="87"/>
      <c r="B44" s="87" t="s">
        <v>351</v>
      </c>
      <c r="C44" s="87" t="s">
        <v>268</v>
      </c>
      <c r="D44" s="224" t="s">
        <v>352</v>
      </c>
      <c r="E44" s="87" t="s">
        <v>270</v>
      </c>
      <c r="F44" s="87" t="s">
        <v>271</v>
      </c>
      <c r="G44" s="89" t="e" cm="1">
        <f t="array" ref="G44">_xlfn.IFS(F44="正常工资薪金",VLOOKUP(D44&amp;"*",工资表明细!D:BL,61,0),F44="一般劳务报酬所得",VLOOKUP(D44&amp;"*",工资表明细!D:BJ,59,0),F44="全年一次性奖金收入",VLOOKUP(D44&amp;"*",工资表明细!D:BI,58,0),F44="解除劳动合同一次性补偿金",VLOOKUP(D44&amp;"*",工资表明细!D:BH,57,0))</f>
        <v>#N/A</v>
      </c>
      <c r="H44" s="89">
        <f t="shared" si="0"/>
        <v>0</v>
      </c>
      <c r="I44" s="89">
        <v>0</v>
      </c>
      <c r="J44" s="89">
        <f t="shared" si="1"/>
        <v>5000</v>
      </c>
      <c r="K44" s="89" t="e">
        <f>IF(F44="正常工资薪金",VLOOKUP(D44&amp;"*",工资表明细!D:AP,39,0),0)</f>
        <v>#N/A</v>
      </c>
      <c r="L44" s="89" t="e">
        <f>IF(F44="正常工资薪金",VLOOKUP(D44&amp;"*",工资表明细!D:AQ,40,0),0)</f>
        <v>#N/A</v>
      </c>
      <c r="M44" s="89" t="e">
        <f>IF(F44="正常工资薪金",VLOOKUP(D44&amp;"*",工资表明细!D:AR,41,0),0)</f>
        <v>#N/A</v>
      </c>
      <c r="N44" s="89" t="e">
        <f>IF(F44="正常工资薪金",VLOOKUP(D44&amp;"*",工资表明细!D:AT,43,0),0)</f>
        <v>#N/A</v>
      </c>
      <c r="O44" s="89">
        <v>39</v>
      </c>
      <c r="P44" s="89">
        <v>39</v>
      </c>
      <c r="Q44" s="89">
        <v>39</v>
      </c>
      <c r="R44" s="89">
        <v>39</v>
      </c>
      <c r="S44" s="89">
        <v>39</v>
      </c>
      <c r="T44" s="89">
        <v>39</v>
      </c>
      <c r="U44" s="89">
        <v>39</v>
      </c>
      <c r="V44" s="89">
        <v>39</v>
      </c>
      <c r="W44" s="87" t="s">
        <v>272</v>
      </c>
      <c r="X44" s="89">
        <v>39</v>
      </c>
      <c r="Y44" s="87" t="s">
        <v>272</v>
      </c>
      <c r="Z44" s="87" t="s">
        <v>272</v>
      </c>
      <c r="AA44" s="87" t="s">
        <v>272</v>
      </c>
      <c r="AB44" s="89">
        <v>39</v>
      </c>
      <c r="AC44" s="89" t="e">
        <f t="shared" si="2"/>
        <v>#N/A</v>
      </c>
      <c r="AD44" s="89">
        <f t="shared" si="3"/>
        <v>40000</v>
      </c>
      <c r="AE44" s="89" t="e">
        <f t="shared" si="4"/>
        <v>#N/A</v>
      </c>
      <c r="AF44" s="89">
        <f t="shared" si="5"/>
        <v>0</v>
      </c>
      <c r="AG44" s="89">
        <f t="shared" si="6"/>
        <v>0</v>
      </c>
      <c r="AH44" s="89">
        <f t="shared" si="7"/>
        <v>0</v>
      </c>
      <c r="AI44" s="89">
        <f t="shared" si="8"/>
        <v>0</v>
      </c>
      <c r="AJ44" s="89">
        <f t="shared" si="9"/>
        <v>0</v>
      </c>
      <c r="AK44" s="89">
        <f t="shared" si="10"/>
        <v>0</v>
      </c>
      <c r="AL44" s="89">
        <v>0</v>
      </c>
      <c r="AM44" s="89">
        <v>0</v>
      </c>
      <c r="AN44" s="87" t="s">
        <v>273</v>
      </c>
      <c r="AO44" s="89">
        <v>0</v>
      </c>
      <c r="AP44" s="89" t="e">
        <f t="shared" si="11"/>
        <v>#N/A</v>
      </c>
      <c r="AQ44" s="89" t="e" cm="1">
        <f t="array" ref="AQ44">_xlfn.IFS(F44="正常工资薪金",VLOOKUP(AP44,{0,0.03;36000,0.1;144000,0.2;300000,0.25;420000,0.3;660000,0.35;960000,0.45},2,1),F44="一般劳务报酬所得",IF(AP44&lt;=20000,0.2,IF(AP44&lt;=50000,0.3,0.4)),F44="全年一次性奖金收入",VLOOKUP(AP44/12,{0,0.03;3000,0.1;12000,0.2;25000,0.25;35000,0.3;55000,0.35;80000,0.45},2,1),F44="解除劳动合同一次性补偿金",VLOOKUP(AP44,{0,0.03;36000,0.1;144000,0.2;300000,0.25;420000,0.3;660000,0.35;960000,0.45},2,1))</f>
        <v>#N/A</v>
      </c>
      <c r="AR44" s="89" t="e" cm="1">
        <f t="array" ref="AR44">_xlfn.IFS(F44="正常工资薪金",VLOOKUP(AP44,{0,0;36000,2520;144000,16920;300000,31920;420000,52920;660000,85920;960000,181920},2,1),F44="一般劳务报酬所得",IF(AP44&lt;=20000,0,IF(AS&lt;=50000,2000,7000)),F44="全年一次性奖金收入",VLOOKUP(AP44/12,{0,0;3000,210;12000,1410;25000,2660;35000,4410;55000,7160;80000,15160},2,1),F44="解除劳动合同一次性补偿金",VLOOKUP(AP44,{0,0;36000,2520;144000,16920;300000,31920;420000,52920;660000,85920;960000,181920},2,1))</f>
        <v>#N/A</v>
      </c>
      <c r="AS44" s="89" t="e">
        <f t="shared" si="12"/>
        <v>#N/A</v>
      </c>
      <c r="AT44" s="89">
        <v>0</v>
      </c>
      <c r="AU44" s="89">
        <f t="shared" si="13"/>
        <v>868.87</v>
      </c>
      <c r="AV44" s="89" t="e">
        <f t="shared" si="14"/>
        <v>#N/A</v>
      </c>
      <c r="AW44" s="87"/>
      <c r="AX44" s="90">
        <f>IFERROR(IF(F44="正常工资薪金",VLOOKUP(D44&amp;"*",个税上月累计情况!E:AL,26,0),0),0)</f>
        <v>72887.53</v>
      </c>
      <c r="AY44" s="90">
        <f>IFERROR(IF(F44="正常工资薪金",VLOOKUP(D44&amp;"*",个税上月累计情况!E:AL,27,0),0),0)</f>
        <v>35000</v>
      </c>
      <c r="AZ44" s="90">
        <f>IFERROR(IF(F44="正常工资薪金",VLOOKUP(D44&amp;"*",个税上月累计情况!E:AL,28,0),0),0)</f>
        <v>8925.07</v>
      </c>
      <c r="BA44" s="90">
        <f>IFERROR(IF(F44="正常工资薪金",VLOOKUP(D44&amp;"*",个税上月累计情况!E:AL,29,0),0),0)</f>
        <v>0</v>
      </c>
      <c r="BB44" s="90">
        <f>IFERROR(IF(F44="正常工资薪金",VLOOKUP(D44&amp;"*",个税上月累计情况!E:AL,30,0),0),0)</f>
        <v>0</v>
      </c>
      <c r="BC44" s="90">
        <f>IFERROR(IF(F44="正常工资薪金",VLOOKUP(D44&amp;"*",个税上月累计情况!E:AL,31,0),0),0)</f>
        <v>0</v>
      </c>
      <c r="BD44" s="90">
        <f>IFERROR(IF(F44="正常工资薪金",VLOOKUP(D44&amp;"*",个税上月累计情况!E:AL,32,0),0),0)</f>
        <v>0</v>
      </c>
      <c r="BE44" s="90">
        <f>IFERROR(IF(F44="正常工资薪金",VLOOKUP(D44&amp;"*",个税上月累计情况!E:AL,33,0),0),0)</f>
        <v>0</v>
      </c>
      <c r="BF44" s="90">
        <f>IFERROR(IF(F44="正常工资薪金",VLOOKUP(D44&amp;"*",个税上月累计情况!E:AL,34,0),0),0)</f>
        <v>0</v>
      </c>
      <c r="BG44" s="90">
        <f>IFERROR(IF(F44="正常工资薪金",VLOOKUP(D44&amp;"*",个税上月累计情况!E:AN,35,0),0),0)</f>
        <v>0</v>
      </c>
      <c r="BH44" s="90">
        <f>IFERROR(IF(F44="正常工资薪金",VLOOKUP(D44&amp;"*",个税上月累计情况!E:AN,36,0),0),0)</f>
        <v>0</v>
      </c>
      <c r="BI44" s="90">
        <f>IFERROR(IF(F44="正常工资薪金",VLOOKUP(D44&amp;"*",个税上月累计情况!D:AW,46,0),0),0)</f>
        <v>745.12</v>
      </c>
      <c r="BJ44" s="90">
        <f>IFERROR(IF(F44="正常工资薪金",VLOOKUP(D44&amp;"*",个税上月累计情况!D:AX,47,0),0),0)</f>
        <v>123.75</v>
      </c>
      <c r="BK44" t="e">
        <f>VLOOKUP(B44,花名册!C:N,12,0)</f>
        <v>#N/A</v>
      </c>
    </row>
    <row r="45" ht="19.5" hidden="1" spans="1:63">
      <c r="A45" s="87"/>
      <c r="B45" s="87" t="s">
        <v>353</v>
      </c>
      <c r="C45" s="87" t="s">
        <v>268</v>
      </c>
      <c r="D45" s="224" t="s">
        <v>354</v>
      </c>
      <c r="E45" s="87" t="s">
        <v>270</v>
      </c>
      <c r="F45" s="87" t="s">
        <v>271</v>
      </c>
      <c r="G45" s="89" t="e" cm="1">
        <f t="array" ref="G45">_xlfn.IFS(F45="正常工资薪金",VLOOKUP(D45&amp;"*",工资表明细!D:BL,61,0),F45="一般劳务报酬所得",VLOOKUP(D45&amp;"*",工资表明细!D:BJ,59,0),F45="全年一次性奖金收入",VLOOKUP(D45&amp;"*",工资表明细!D:BI,58,0),F45="解除劳动合同一次性补偿金",VLOOKUP(D45&amp;"*",工资表明细!D:BH,57,0))</f>
        <v>#N/A</v>
      </c>
      <c r="H45" s="89">
        <f t="shared" si="0"/>
        <v>0</v>
      </c>
      <c r="I45" s="89">
        <v>0</v>
      </c>
      <c r="J45" s="89">
        <f t="shared" si="1"/>
        <v>5000</v>
      </c>
      <c r="K45" s="89" t="e">
        <f>IF(F45="正常工资薪金",VLOOKUP(D45&amp;"*",工资表明细!D:AP,39,0),0)</f>
        <v>#N/A</v>
      </c>
      <c r="L45" s="89" t="e">
        <f>IF(F45="正常工资薪金",VLOOKUP(D45&amp;"*",工资表明细!D:AQ,40,0),0)</f>
        <v>#N/A</v>
      </c>
      <c r="M45" s="89" t="e">
        <f>IF(F45="正常工资薪金",VLOOKUP(D45&amp;"*",工资表明细!D:AR,41,0),0)</f>
        <v>#N/A</v>
      </c>
      <c r="N45" s="89" t="e">
        <f>IF(F45="正常工资薪金",VLOOKUP(D45&amp;"*",工资表明细!D:AT,43,0),0)</f>
        <v>#N/A</v>
      </c>
      <c r="O45" s="89">
        <v>40</v>
      </c>
      <c r="P45" s="89">
        <v>40</v>
      </c>
      <c r="Q45" s="89">
        <v>40</v>
      </c>
      <c r="R45" s="89">
        <v>40</v>
      </c>
      <c r="S45" s="89">
        <v>40</v>
      </c>
      <c r="T45" s="89">
        <v>40</v>
      </c>
      <c r="U45" s="89">
        <v>40</v>
      </c>
      <c r="V45" s="89">
        <v>40</v>
      </c>
      <c r="W45" s="87" t="s">
        <v>272</v>
      </c>
      <c r="X45" s="89">
        <v>40</v>
      </c>
      <c r="Y45" s="87" t="s">
        <v>272</v>
      </c>
      <c r="Z45" s="87" t="s">
        <v>272</v>
      </c>
      <c r="AA45" s="87" t="s">
        <v>272</v>
      </c>
      <c r="AB45" s="89">
        <v>40</v>
      </c>
      <c r="AC45" s="89" t="e">
        <f t="shared" si="2"/>
        <v>#N/A</v>
      </c>
      <c r="AD45" s="89">
        <f t="shared" si="3"/>
        <v>40000</v>
      </c>
      <c r="AE45" s="89" t="e">
        <f t="shared" si="4"/>
        <v>#N/A</v>
      </c>
      <c r="AF45" s="89">
        <f t="shared" si="5"/>
        <v>0</v>
      </c>
      <c r="AG45" s="89">
        <f t="shared" si="6"/>
        <v>0</v>
      </c>
      <c r="AH45" s="89">
        <f t="shared" si="7"/>
        <v>0</v>
      </c>
      <c r="AI45" s="89">
        <f t="shared" si="8"/>
        <v>0</v>
      </c>
      <c r="AJ45" s="89">
        <f t="shared" si="9"/>
        <v>0</v>
      </c>
      <c r="AK45" s="89">
        <f t="shared" si="10"/>
        <v>0</v>
      </c>
      <c r="AL45" s="89">
        <v>0</v>
      </c>
      <c r="AM45" s="89">
        <v>0</v>
      </c>
      <c r="AN45" s="87" t="s">
        <v>273</v>
      </c>
      <c r="AO45" s="89">
        <v>0</v>
      </c>
      <c r="AP45" s="89" t="e">
        <f t="shared" si="11"/>
        <v>#N/A</v>
      </c>
      <c r="AQ45" s="89" t="e" cm="1">
        <f t="array" ref="AQ45">_xlfn.IFS(F45="正常工资薪金",VLOOKUP(AP45,{0,0.03;36000,0.1;144000,0.2;300000,0.25;420000,0.3;660000,0.35;960000,0.45},2,1),F45="一般劳务报酬所得",IF(AP45&lt;=20000,0.2,IF(AP45&lt;=50000,0.3,0.4)),F45="全年一次性奖金收入",VLOOKUP(AP45/12,{0,0.03;3000,0.1;12000,0.2;25000,0.25;35000,0.3;55000,0.35;80000,0.45},2,1),F45="解除劳动合同一次性补偿金",VLOOKUP(AP45,{0,0.03;36000,0.1;144000,0.2;300000,0.25;420000,0.3;660000,0.35;960000,0.45},2,1))</f>
        <v>#N/A</v>
      </c>
      <c r="AR45" s="89" t="e" cm="1">
        <f t="array" ref="AR45">_xlfn.IFS(F45="正常工资薪金",VLOOKUP(AP45,{0,0;36000,2520;144000,16920;300000,31920;420000,52920;660000,85920;960000,181920},2,1),F45="一般劳务报酬所得",IF(AP45&lt;=20000,0,IF(AS&lt;=50000,2000,7000)),F45="全年一次性奖金收入",VLOOKUP(AP45/12,{0,0;3000,210;12000,1410;25000,2660;35000,4410;55000,7160;80000,15160},2,1),F45="解除劳动合同一次性补偿金",VLOOKUP(AP45,{0,0;36000,2520;144000,16920;300000,31920;420000,52920;660000,85920;960000,181920},2,1))</f>
        <v>#N/A</v>
      </c>
      <c r="AS45" s="89" t="e">
        <f t="shared" si="12"/>
        <v>#N/A</v>
      </c>
      <c r="AT45" s="89">
        <v>0</v>
      </c>
      <c r="AU45" s="89">
        <f t="shared" si="13"/>
        <v>3525.27</v>
      </c>
      <c r="AV45" s="89" t="e">
        <f t="shared" si="14"/>
        <v>#N/A</v>
      </c>
      <c r="AW45" s="87"/>
      <c r="AX45" s="90">
        <f>IFERROR(IF(F45="正常工资薪金",VLOOKUP(D45&amp;"*",个税上月累计情况!E:AL,26,0),0),0)</f>
        <v>104377.77</v>
      </c>
      <c r="AY45" s="90">
        <f>IFERROR(IF(F45="正常工资薪金",VLOOKUP(D45&amp;"*",个税上月累计情况!E:AL,27,0),0),0)</f>
        <v>35000</v>
      </c>
      <c r="AZ45" s="90">
        <f>IFERROR(IF(F45="正常工资薪金",VLOOKUP(D45&amp;"*",个税上月累计情况!E:AL,28,0),0),0)</f>
        <v>8925.07</v>
      </c>
      <c r="BA45" s="90">
        <f>IFERROR(IF(F45="正常工资薪金",VLOOKUP(D45&amp;"*",个税上月累计情况!E:AL,29,0),0),0)</f>
        <v>0</v>
      </c>
      <c r="BB45" s="90">
        <f>IFERROR(IF(F45="正常工资薪金",VLOOKUP(D45&amp;"*",个税上月累计情况!E:AL,30,0),0),0)</f>
        <v>0</v>
      </c>
      <c r="BC45" s="90">
        <f>IFERROR(IF(F45="正常工资薪金",VLOOKUP(D45&amp;"*",个税上月累计情况!E:AL,31,0),0),0)</f>
        <v>0</v>
      </c>
      <c r="BD45" s="90">
        <f>IFERROR(IF(F45="正常工资薪金",VLOOKUP(D45&amp;"*",个税上月累计情况!E:AL,32,0),0),0)</f>
        <v>0</v>
      </c>
      <c r="BE45" s="90">
        <f>IFERROR(IF(F45="正常工资薪金",VLOOKUP(D45&amp;"*",个税上月累计情况!E:AL,33,0),0),0)</f>
        <v>0</v>
      </c>
      <c r="BF45" s="90">
        <f>IFERROR(IF(F45="正常工资薪金",VLOOKUP(D45&amp;"*",个税上月累计情况!E:AL,34,0),0),0)</f>
        <v>0</v>
      </c>
      <c r="BG45" s="90">
        <f>IFERROR(IF(F45="正常工资薪金",VLOOKUP(D45&amp;"*",个税上月累计情况!E:AN,35,0),0),0)</f>
        <v>0</v>
      </c>
      <c r="BH45" s="90">
        <f>IFERROR(IF(F45="正常工资薪金",VLOOKUP(D45&amp;"*",个税上月累计情况!E:AN,36,0),0),0)</f>
        <v>0</v>
      </c>
      <c r="BI45" s="90">
        <f>IFERROR(IF(F45="正常工资薪金",VLOOKUP(D45&amp;"*",个税上月累计情况!D:AW,46,0),0),0)</f>
        <v>2655.77</v>
      </c>
      <c r="BJ45" s="90">
        <f>IFERROR(IF(F45="正常工资薪金",VLOOKUP(D45&amp;"*",个税上月累计情况!D:AX,47,0),0),0)</f>
        <v>869.5</v>
      </c>
      <c r="BK45" t="e">
        <f>VLOOKUP(B45,花名册!C:N,12,0)</f>
        <v>#N/A</v>
      </c>
    </row>
    <row r="46" ht="19.5" hidden="1" spans="1:63">
      <c r="A46" s="87"/>
      <c r="B46" s="87" t="s">
        <v>355</v>
      </c>
      <c r="C46" s="87" t="s">
        <v>268</v>
      </c>
      <c r="D46" s="224" t="s">
        <v>356</v>
      </c>
      <c r="E46" s="87" t="s">
        <v>270</v>
      </c>
      <c r="F46" s="87" t="s">
        <v>271</v>
      </c>
      <c r="G46" s="89" t="e" cm="1">
        <f t="array" ref="G46">_xlfn.IFS(F46="正常工资薪金",VLOOKUP(D46&amp;"*",工资表明细!D:BL,61,0),F46="一般劳务报酬所得",VLOOKUP(D46&amp;"*",工资表明细!D:BJ,59,0),F46="全年一次性奖金收入",VLOOKUP(D46&amp;"*",工资表明细!D:BI,58,0),F46="解除劳动合同一次性补偿金",VLOOKUP(D46&amp;"*",工资表明细!D:BH,57,0))</f>
        <v>#N/A</v>
      </c>
      <c r="H46" s="89">
        <f t="shared" si="0"/>
        <v>0</v>
      </c>
      <c r="I46" s="89">
        <v>0</v>
      </c>
      <c r="J46" s="89">
        <f t="shared" si="1"/>
        <v>5000</v>
      </c>
      <c r="K46" s="89" t="e">
        <f>IF(F46="正常工资薪金",VLOOKUP(D46&amp;"*",工资表明细!D:AP,39,0),0)</f>
        <v>#N/A</v>
      </c>
      <c r="L46" s="89" t="e">
        <f>IF(F46="正常工资薪金",VLOOKUP(D46&amp;"*",工资表明细!D:AQ,40,0),0)</f>
        <v>#N/A</v>
      </c>
      <c r="M46" s="89" t="e">
        <f>IF(F46="正常工资薪金",VLOOKUP(D46&amp;"*",工资表明细!D:AR,41,0),0)</f>
        <v>#N/A</v>
      </c>
      <c r="N46" s="89" t="e">
        <f>IF(F46="正常工资薪金",VLOOKUP(D46&amp;"*",工资表明细!D:AT,43,0),0)</f>
        <v>#N/A</v>
      </c>
      <c r="O46" s="89">
        <v>41</v>
      </c>
      <c r="P46" s="89">
        <v>41</v>
      </c>
      <c r="Q46" s="89">
        <v>41</v>
      </c>
      <c r="R46" s="89">
        <v>41</v>
      </c>
      <c r="S46" s="89">
        <v>41</v>
      </c>
      <c r="T46" s="89">
        <v>41</v>
      </c>
      <c r="U46" s="89">
        <v>41</v>
      </c>
      <c r="V46" s="89">
        <v>41</v>
      </c>
      <c r="W46" s="87" t="s">
        <v>272</v>
      </c>
      <c r="X46" s="89">
        <v>41</v>
      </c>
      <c r="Y46" s="87" t="s">
        <v>272</v>
      </c>
      <c r="Z46" s="87" t="s">
        <v>272</v>
      </c>
      <c r="AA46" s="87" t="s">
        <v>272</v>
      </c>
      <c r="AB46" s="89">
        <v>41</v>
      </c>
      <c r="AC46" s="89" t="e">
        <f t="shared" si="2"/>
        <v>#N/A</v>
      </c>
      <c r="AD46" s="89">
        <f t="shared" si="3"/>
        <v>40000</v>
      </c>
      <c r="AE46" s="89" t="e">
        <f t="shared" si="4"/>
        <v>#N/A</v>
      </c>
      <c r="AF46" s="89">
        <f t="shared" si="5"/>
        <v>0</v>
      </c>
      <c r="AG46" s="89">
        <f t="shared" si="6"/>
        <v>0</v>
      </c>
      <c r="AH46" s="89">
        <f t="shared" si="7"/>
        <v>0</v>
      </c>
      <c r="AI46" s="89">
        <f t="shared" si="8"/>
        <v>0</v>
      </c>
      <c r="AJ46" s="89">
        <f t="shared" si="9"/>
        <v>0</v>
      </c>
      <c r="AK46" s="89">
        <f t="shared" si="10"/>
        <v>0</v>
      </c>
      <c r="AL46" s="89">
        <v>0</v>
      </c>
      <c r="AM46" s="89">
        <v>0</v>
      </c>
      <c r="AN46" s="87" t="s">
        <v>273</v>
      </c>
      <c r="AO46" s="89">
        <v>0</v>
      </c>
      <c r="AP46" s="89" t="e">
        <f t="shared" si="11"/>
        <v>#N/A</v>
      </c>
      <c r="AQ46" s="89" t="e" cm="1">
        <f t="array" ref="AQ46">_xlfn.IFS(F46="正常工资薪金",VLOOKUP(AP46,{0,0.03;36000,0.1;144000,0.2;300000,0.25;420000,0.3;660000,0.35;960000,0.45},2,1),F46="一般劳务报酬所得",IF(AP46&lt;=20000,0.2,IF(AP46&lt;=50000,0.3,0.4)),F46="全年一次性奖金收入",VLOOKUP(AP46/12,{0,0.03;3000,0.1;12000,0.2;25000,0.25;35000,0.3;55000,0.35;80000,0.45},2,1),F46="解除劳动合同一次性补偿金",VLOOKUP(AP46,{0,0.03;36000,0.1;144000,0.2;300000,0.25;420000,0.3;660000,0.35;960000,0.45},2,1))</f>
        <v>#N/A</v>
      </c>
      <c r="AR46" s="89" t="e" cm="1">
        <f t="array" ref="AR46">_xlfn.IFS(F46="正常工资薪金",VLOOKUP(AP46,{0,0;36000,2520;144000,16920;300000,31920;420000,52920;660000,85920;960000,181920},2,1),F46="一般劳务报酬所得",IF(AP46&lt;=20000,0,IF(AS&lt;=50000,2000,7000)),F46="全年一次性奖金收入",VLOOKUP(AP46/12,{0,0;3000,210;12000,1410;25000,2660;35000,4410;55000,7160;80000,15160},2,1),F46="解除劳动合同一次性补偿金",VLOOKUP(AP46,{0,0;36000,2520;144000,16920;300000,31920;420000,52920;660000,85920;960000,181920},2,1))</f>
        <v>#N/A</v>
      </c>
      <c r="AS46" s="89" t="e">
        <f t="shared" si="12"/>
        <v>#N/A</v>
      </c>
      <c r="AT46" s="89">
        <v>0</v>
      </c>
      <c r="AU46" s="89">
        <f t="shared" si="13"/>
        <v>2435.41</v>
      </c>
      <c r="AV46" s="89" t="e">
        <f t="shared" si="14"/>
        <v>#N/A</v>
      </c>
      <c r="AW46" s="87"/>
      <c r="AX46" s="90">
        <f>IFERROR(IF(F46="正常工资薪金",VLOOKUP(D46&amp;"*",个税上月累计情况!E:AL,26,0),0),0)</f>
        <v>94599.2</v>
      </c>
      <c r="AY46" s="90">
        <f>IFERROR(IF(F46="正常工资薪金",VLOOKUP(D46&amp;"*",个税上月累计情况!E:AL,27,0),0),0)</f>
        <v>35000</v>
      </c>
      <c r="AZ46" s="90">
        <f>IFERROR(IF(F46="正常工资薪金",VLOOKUP(D46&amp;"*",个税上月累计情况!E:AL,28,0),0),0)</f>
        <v>10045.07</v>
      </c>
      <c r="BA46" s="90">
        <f>IFERROR(IF(F46="正常工资薪金",VLOOKUP(D46&amp;"*",个税上月累计情况!E:AL,29,0),0),0)</f>
        <v>0</v>
      </c>
      <c r="BB46" s="90">
        <f>IFERROR(IF(F46="正常工资薪金",VLOOKUP(D46&amp;"*",个税上月累计情况!E:AL,30,0),0),0)</f>
        <v>0</v>
      </c>
      <c r="BC46" s="90">
        <f>IFERROR(IF(F46="正常工资薪金",VLOOKUP(D46&amp;"*",个税上月累计情况!E:AL,31,0),0),0)</f>
        <v>0</v>
      </c>
      <c r="BD46" s="90">
        <f>IFERROR(IF(F46="正常工资薪金",VLOOKUP(D46&amp;"*",个税上月累计情况!E:AL,32,0),0),0)</f>
        <v>0</v>
      </c>
      <c r="BE46" s="90">
        <f>IFERROR(IF(F46="正常工资薪金",VLOOKUP(D46&amp;"*",个税上月累计情况!E:AL,33,0),0),0)</f>
        <v>0</v>
      </c>
      <c r="BF46" s="90">
        <f>IFERROR(IF(F46="正常工资薪金",VLOOKUP(D46&amp;"*",个税上月累计情况!E:AL,34,0),0),0)</f>
        <v>0</v>
      </c>
      <c r="BG46" s="90">
        <f>IFERROR(IF(F46="正常工资薪金",VLOOKUP(D46&amp;"*",个税上月累计情况!E:AN,35,0),0),0)</f>
        <v>0</v>
      </c>
      <c r="BH46" s="90">
        <f>IFERROR(IF(F46="正常工资薪金",VLOOKUP(D46&amp;"*",个税上月累计情况!E:AN,36,0),0),0)</f>
        <v>0</v>
      </c>
      <c r="BI46" s="90">
        <f>IFERROR(IF(F46="正常工资薪金",VLOOKUP(D46&amp;"*",个税上月累计情况!D:AW,46,0),0),0)</f>
        <v>1718.91</v>
      </c>
      <c r="BJ46" s="90">
        <f>IFERROR(IF(F46="正常工资薪金",VLOOKUP(D46&amp;"*",个税上月累计情况!D:AX,47,0),0),0)</f>
        <v>716.5</v>
      </c>
      <c r="BK46" t="e">
        <f>VLOOKUP(B46,花名册!C:N,12,0)</f>
        <v>#N/A</v>
      </c>
    </row>
    <row r="47" ht="19.5" hidden="1" spans="1:63">
      <c r="A47" s="87"/>
      <c r="B47" s="87" t="s">
        <v>357</v>
      </c>
      <c r="C47" s="87" t="s">
        <v>268</v>
      </c>
      <c r="D47" s="224" t="s">
        <v>358</v>
      </c>
      <c r="E47" s="87" t="s">
        <v>270</v>
      </c>
      <c r="F47" s="87" t="s">
        <v>271</v>
      </c>
      <c r="G47" s="89" t="e" cm="1">
        <f t="array" ref="G47">_xlfn.IFS(F47="正常工资薪金",VLOOKUP(D47&amp;"*",工资表明细!D:BL,61,0),F47="一般劳务报酬所得",VLOOKUP(D47&amp;"*",工资表明细!D:BJ,59,0),F47="全年一次性奖金收入",VLOOKUP(D47&amp;"*",工资表明细!D:BI,58,0),F47="解除劳动合同一次性补偿金",VLOOKUP(D47&amp;"*",工资表明细!D:BH,57,0))</f>
        <v>#N/A</v>
      </c>
      <c r="H47" s="89">
        <f t="shared" si="0"/>
        <v>0</v>
      </c>
      <c r="I47" s="89">
        <v>0</v>
      </c>
      <c r="J47" s="89">
        <f t="shared" si="1"/>
        <v>5000</v>
      </c>
      <c r="K47" s="89" t="e">
        <f>IF(F47="正常工资薪金",VLOOKUP(D47&amp;"*",工资表明细!D:AP,39,0),0)</f>
        <v>#N/A</v>
      </c>
      <c r="L47" s="89" t="e">
        <f>IF(F47="正常工资薪金",VLOOKUP(D47&amp;"*",工资表明细!D:AQ,40,0),0)</f>
        <v>#N/A</v>
      </c>
      <c r="M47" s="89" t="e">
        <f>IF(F47="正常工资薪金",VLOOKUP(D47&amp;"*",工资表明细!D:AR,41,0),0)</f>
        <v>#N/A</v>
      </c>
      <c r="N47" s="89" t="e">
        <f>IF(F47="正常工资薪金",VLOOKUP(D47&amp;"*",工资表明细!D:AT,43,0),0)</f>
        <v>#N/A</v>
      </c>
      <c r="O47" s="89">
        <v>42</v>
      </c>
      <c r="P47" s="89">
        <v>42</v>
      </c>
      <c r="Q47" s="89">
        <v>42</v>
      </c>
      <c r="R47" s="89">
        <v>42</v>
      </c>
      <c r="S47" s="89">
        <v>42</v>
      </c>
      <c r="T47" s="89">
        <v>42</v>
      </c>
      <c r="U47" s="89">
        <v>42</v>
      </c>
      <c r="V47" s="89">
        <v>42</v>
      </c>
      <c r="W47" s="87" t="s">
        <v>272</v>
      </c>
      <c r="X47" s="89">
        <v>42</v>
      </c>
      <c r="Y47" s="87" t="s">
        <v>272</v>
      </c>
      <c r="Z47" s="87" t="s">
        <v>272</v>
      </c>
      <c r="AA47" s="87" t="s">
        <v>272</v>
      </c>
      <c r="AB47" s="89">
        <v>42</v>
      </c>
      <c r="AC47" s="89" t="e">
        <f t="shared" si="2"/>
        <v>#N/A</v>
      </c>
      <c r="AD47" s="89">
        <f t="shared" si="3"/>
        <v>40000</v>
      </c>
      <c r="AE47" s="89" t="e">
        <f t="shared" si="4"/>
        <v>#N/A</v>
      </c>
      <c r="AF47" s="89">
        <f t="shared" si="5"/>
        <v>0</v>
      </c>
      <c r="AG47" s="89">
        <f t="shared" si="6"/>
        <v>0</v>
      </c>
      <c r="AH47" s="89">
        <f t="shared" si="7"/>
        <v>0</v>
      </c>
      <c r="AI47" s="89">
        <f t="shared" si="8"/>
        <v>0</v>
      </c>
      <c r="AJ47" s="89">
        <f t="shared" si="9"/>
        <v>0</v>
      </c>
      <c r="AK47" s="89">
        <f t="shared" si="10"/>
        <v>0</v>
      </c>
      <c r="AL47" s="89">
        <v>0</v>
      </c>
      <c r="AM47" s="89">
        <v>0</v>
      </c>
      <c r="AN47" s="87" t="s">
        <v>273</v>
      </c>
      <c r="AO47" s="89">
        <v>0</v>
      </c>
      <c r="AP47" s="89" t="e">
        <f t="shared" si="11"/>
        <v>#N/A</v>
      </c>
      <c r="AQ47" s="89" t="e" cm="1">
        <f t="array" ref="AQ47">_xlfn.IFS(F47="正常工资薪金",VLOOKUP(AP47,{0,0.03;36000,0.1;144000,0.2;300000,0.25;420000,0.3;660000,0.35;960000,0.45},2,1),F47="一般劳务报酬所得",IF(AP47&lt;=20000,0.2,IF(AP47&lt;=50000,0.3,0.4)),F47="全年一次性奖金收入",VLOOKUP(AP47/12,{0,0.03;3000,0.1;12000,0.2;25000,0.25;35000,0.3;55000,0.35;80000,0.45},2,1),F47="解除劳动合同一次性补偿金",VLOOKUP(AP47,{0,0.03;36000,0.1;144000,0.2;300000,0.25;420000,0.3;660000,0.35;960000,0.45},2,1))</f>
        <v>#N/A</v>
      </c>
      <c r="AR47" s="89" t="e" cm="1">
        <f t="array" ref="AR47">_xlfn.IFS(F47="正常工资薪金",VLOOKUP(AP47,{0,0;36000,2520;144000,16920;300000,31920;420000,52920;660000,85920;960000,181920},2,1),F47="一般劳务报酬所得",IF(AP47&lt;=20000,0,IF(AS&lt;=50000,2000,7000)),F47="全年一次性奖金收入",VLOOKUP(AP47/12,{0,0;3000,210;12000,1410;25000,2660;35000,4410;55000,7160;80000,15160},2,1),F47="解除劳动合同一次性补偿金",VLOOKUP(AP47,{0,0;36000,2520;144000,16920;300000,31920;420000,52920;660000,85920;960000,181920},2,1))</f>
        <v>#N/A</v>
      </c>
      <c r="AS47" s="89" t="e">
        <f t="shared" si="12"/>
        <v>#N/A</v>
      </c>
      <c r="AT47" s="89">
        <v>0</v>
      </c>
      <c r="AU47" s="89">
        <f t="shared" si="13"/>
        <v>1963.49</v>
      </c>
      <c r="AV47" s="89" t="e">
        <f t="shared" si="14"/>
        <v>#N/A</v>
      </c>
      <c r="AW47" s="87"/>
      <c r="AX47" s="90">
        <f>IFERROR(IF(F47="正常工资薪金",VLOOKUP(D47&amp;"*",个税上月累计情况!E:AL,26,0),0),0)</f>
        <v>89600</v>
      </c>
      <c r="AY47" s="90">
        <f>IFERROR(IF(F47="正常工资薪金",VLOOKUP(D47&amp;"*",个税上月累计情况!E:AL,27,0),0),0)</f>
        <v>35000</v>
      </c>
      <c r="AZ47" s="90">
        <f>IFERROR(IF(F47="正常工资薪金",VLOOKUP(D47&amp;"*",个税上月累计情况!E:AL,28,0),0),0)</f>
        <v>9765.07</v>
      </c>
      <c r="BA47" s="90">
        <f>IFERROR(IF(F47="正常工资薪金",VLOOKUP(D47&amp;"*",个税上月累计情况!E:AL,29,0),0),0)</f>
        <v>0</v>
      </c>
      <c r="BB47" s="90">
        <f>IFERROR(IF(F47="正常工资薪金",VLOOKUP(D47&amp;"*",个税上月累计情况!E:AL,30,0),0),0)</f>
        <v>0</v>
      </c>
      <c r="BC47" s="90">
        <f>IFERROR(IF(F47="正常工资薪金",VLOOKUP(D47&amp;"*",个税上月累计情况!E:AL,31,0),0),0)</f>
        <v>0</v>
      </c>
      <c r="BD47" s="90">
        <f>IFERROR(IF(F47="正常工资薪金",VLOOKUP(D47&amp;"*",个税上月累计情况!E:AL,32,0),0),0)</f>
        <v>0</v>
      </c>
      <c r="BE47" s="90">
        <f>IFERROR(IF(F47="正常工资薪金",VLOOKUP(D47&amp;"*",个税上月累计情况!E:AL,33,0),0),0)</f>
        <v>0</v>
      </c>
      <c r="BF47" s="90">
        <f>IFERROR(IF(F47="正常工资薪金",VLOOKUP(D47&amp;"*",个税上月累计情况!E:AL,34,0),0),0)</f>
        <v>0</v>
      </c>
      <c r="BG47" s="90">
        <f>IFERROR(IF(F47="正常工资薪金",VLOOKUP(D47&amp;"*",个税上月累计情况!E:AN,35,0),0),0)</f>
        <v>0</v>
      </c>
      <c r="BH47" s="90">
        <f>IFERROR(IF(F47="正常工资薪金",VLOOKUP(D47&amp;"*",个税上月累计情况!E:AN,36,0),0),0)</f>
        <v>0</v>
      </c>
      <c r="BI47" s="90">
        <f>IFERROR(IF(F47="正常工资薪金",VLOOKUP(D47&amp;"*",个税上月累计情况!D:AW,46,0),0),0)</f>
        <v>1322.99</v>
      </c>
      <c r="BJ47" s="90">
        <f>IFERROR(IF(F47="正常工资薪金",VLOOKUP(D47&amp;"*",个税上月累计情况!D:AX,47,0),0),0)</f>
        <v>640.5</v>
      </c>
      <c r="BK47" t="e">
        <f>VLOOKUP(B47,花名册!C:N,12,0)</f>
        <v>#N/A</v>
      </c>
    </row>
    <row r="48" ht="19.5" hidden="1" spans="1:63">
      <c r="A48" s="87"/>
      <c r="B48" s="87" t="s">
        <v>359</v>
      </c>
      <c r="C48" s="87" t="s">
        <v>268</v>
      </c>
      <c r="D48" s="224" t="s">
        <v>360</v>
      </c>
      <c r="E48" s="87" t="s">
        <v>270</v>
      </c>
      <c r="F48" s="87" t="s">
        <v>271</v>
      </c>
      <c r="G48" s="89" t="e" cm="1">
        <f t="array" ref="G48">_xlfn.IFS(F48="正常工资薪金",VLOOKUP(D48&amp;"*",工资表明细!D:BL,61,0),F48="一般劳务报酬所得",VLOOKUP(D48&amp;"*",工资表明细!D:BJ,59,0),F48="全年一次性奖金收入",VLOOKUP(D48&amp;"*",工资表明细!D:BI,58,0),F48="解除劳动合同一次性补偿金",VLOOKUP(D48&amp;"*",工资表明细!D:BH,57,0))</f>
        <v>#N/A</v>
      </c>
      <c r="H48" s="89">
        <f t="shared" si="0"/>
        <v>0</v>
      </c>
      <c r="I48" s="89">
        <v>0</v>
      </c>
      <c r="J48" s="89">
        <f t="shared" si="1"/>
        <v>5000</v>
      </c>
      <c r="K48" s="89" t="e">
        <f>IF(F48="正常工资薪金",VLOOKUP(D48&amp;"*",工资表明细!D:AP,39,0),0)</f>
        <v>#N/A</v>
      </c>
      <c r="L48" s="89" t="e">
        <f>IF(F48="正常工资薪金",VLOOKUP(D48&amp;"*",工资表明细!D:AQ,40,0),0)</f>
        <v>#N/A</v>
      </c>
      <c r="M48" s="89" t="e">
        <f>IF(F48="正常工资薪金",VLOOKUP(D48&amp;"*",工资表明细!D:AR,41,0),0)</f>
        <v>#N/A</v>
      </c>
      <c r="N48" s="89" t="e">
        <f>IF(F48="正常工资薪金",VLOOKUP(D48&amp;"*",工资表明细!D:AT,43,0),0)</f>
        <v>#N/A</v>
      </c>
      <c r="O48" s="89">
        <v>43</v>
      </c>
      <c r="P48" s="89">
        <v>43</v>
      </c>
      <c r="Q48" s="89">
        <v>43</v>
      </c>
      <c r="R48" s="89">
        <v>43</v>
      </c>
      <c r="S48" s="89">
        <v>43</v>
      </c>
      <c r="T48" s="89">
        <v>43</v>
      </c>
      <c r="U48" s="89">
        <v>43</v>
      </c>
      <c r="V48" s="89">
        <v>43</v>
      </c>
      <c r="W48" s="87" t="s">
        <v>272</v>
      </c>
      <c r="X48" s="89">
        <v>43</v>
      </c>
      <c r="Y48" s="87" t="s">
        <v>272</v>
      </c>
      <c r="Z48" s="87" t="s">
        <v>272</v>
      </c>
      <c r="AA48" s="87" t="s">
        <v>272</v>
      </c>
      <c r="AB48" s="89">
        <v>43</v>
      </c>
      <c r="AC48" s="89" t="e">
        <f t="shared" si="2"/>
        <v>#N/A</v>
      </c>
      <c r="AD48" s="89">
        <f t="shared" si="3"/>
        <v>40000</v>
      </c>
      <c r="AE48" s="89" t="e">
        <f t="shared" si="4"/>
        <v>#N/A</v>
      </c>
      <c r="AF48" s="89">
        <f t="shared" si="5"/>
        <v>0</v>
      </c>
      <c r="AG48" s="89">
        <f t="shared" si="6"/>
        <v>0</v>
      </c>
      <c r="AH48" s="89">
        <f t="shared" si="7"/>
        <v>0</v>
      </c>
      <c r="AI48" s="89">
        <f t="shared" si="8"/>
        <v>0</v>
      </c>
      <c r="AJ48" s="89">
        <f t="shared" si="9"/>
        <v>0</v>
      </c>
      <c r="AK48" s="89">
        <f t="shared" si="10"/>
        <v>0</v>
      </c>
      <c r="AL48" s="89">
        <v>0</v>
      </c>
      <c r="AM48" s="89">
        <v>0</v>
      </c>
      <c r="AN48" s="87" t="s">
        <v>273</v>
      </c>
      <c r="AO48" s="89">
        <v>0</v>
      </c>
      <c r="AP48" s="89" t="e">
        <f t="shared" si="11"/>
        <v>#N/A</v>
      </c>
      <c r="AQ48" s="89" t="e" cm="1">
        <f t="array" ref="AQ48">_xlfn.IFS(F48="正常工资薪金",VLOOKUP(AP48,{0,0.03;36000,0.1;144000,0.2;300000,0.25;420000,0.3;660000,0.35;960000,0.45},2,1),F48="一般劳务报酬所得",IF(AP48&lt;=20000,0.2,IF(AP48&lt;=50000,0.3,0.4)),F48="全年一次性奖金收入",VLOOKUP(AP48/12,{0,0.03;3000,0.1;12000,0.2;25000,0.25;35000,0.3;55000,0.35;80000,0.45},2,1),F48="解除劳动合同一次性补偿金",VLOOKUP(AP48,{0,0.03;36000,0.1;144000,0.2;300000,0.25;420000,0.3;660000,0.35;960000,0.45},2,1))</f>
        <v>#N/A</v>
      </c>
      <c r="AR48" s="89" t="e" cm="1">
        <f t="array" ref="AR48">_xlfn.IFS(F48="正常工资薪金",VLOOKUP(AP48,{0,0;36000,2520;144000,16920;300000,31920;420000,52920;660000,85920;960000,181920},2,1),F48="一般劳务报酬所得",IF(AP48&lt;=20000,0,IF(AS&lt;=50000,2000,7000)),F48="全年一次性奖金收入",VLOOKUP(AP48/12,{0,0;3000,210;12000,1410;25000,2660;35000,4410;55000,7160;80000,15160},2,1),F48="解除劳动合同一次性补偿金",VLOOKUP(AP48,{0,0;36000,2520;144000,16920;300000,31920;420000,52920;660000,85920;960000,181920},2,1))</f>
        <v>#N/A</v>
      </c>
      <c r="AS48" s="89" t="e">
        <f t="shared" si="12"/>
        <v>#N/A</v>
      </c>
      <c r="AT48" s="89">
        <v>0</v>
      </c>
      <c r="AU48" s="89">
        <f t="shared" si="13"/>
        <v>1009.94</v>
      </c>
      <c r="AV48" s="89" t="e">
        <f t="shared" si="14"/>
        <v>#N/A</v>
      </c>
      <c r="AW48" s="87"/>
      <c r="AX48" s="90">
        <f>IFERROR(IF(F48="正常工资薪金",VLOOKUP(D48&amp;"*",个税上月累计情况!E:AL,26,0),0),0)</f>
        <v>77869.83</v>
      </c>
      <c r="AY48" s="90">
        <f>IFERROR(IF(F48="正常工资薪金",VLOOKUP(D48&amp;"*",个税上月累计情况!E:AL,27,0),0),0)</f>
        <v>35000</v>
      </c>
      <c r="AZ48" s="90">
        <f>IFERROR(IF(F48="正常工资薪金",VLOOKUP(D48&amp;"*",个税上月累计情况!E:AL,28,0),0),0)</f>
        <v>9205.07</v>
      </c>
      <c r="BA48" s="90">
        <f>IFERROR(IF(F48="正常工资薪金",VLOOKUP(D48&amp;"*",个税上月累计情况!E:AL,29,0),0),0)</f>
        <v>0</v>
      </c>
      <c r="BB48" s="90">
        <f>IFERROR(IF(F48="正常工资薪金",VLOOKUP(D48&amp;"*",个税上月累计情况!E:AL,30,0),0),0)</f>
        <v>0</v>
      </c>
      <c r="BC48" s="90">
        <f>IFERROR(IF(F48="正常工资薪金",VLOOKUP(D48&amp;"*",个税上月累计情况!E:AL,31,0),0),0)</f>
        <v>0</v>
      </c>
      <c r="BD48" s="90">
        <f>IFERROR(IF(F48="正常工资薪金",VLOOKUP(D48&amp;"*",个税上月累计情况!E:AL,32,0),0),0)</f>
        <v>0</v>
      </c>
      <c r="BE48" s="90">
        <f>IFERROR(IF(F48="正常工资薪金",VLOOKUP(D48&amp;"*",个税上月累计情况!E:AL,33,0),0),0)</f>
        <v>0</v>
      </c>
      <c r="BF48" s="90">
        <f>IFERROR(IF(F48="正常工资薪金",VLOOKUP(D48&amp;"*",个税上月累计情况!E:AL,34,0),0),0)</f>
        <v>0</v>
      </c>
      <c r="BG48" s="90">
        <f>IFERROR(IF(F48="正常工资薪金",VLOOKUP(D48&amp;"*",个税上月累计情况!E:AN,35,0),0),0)</f>
        <v>0</v>
      </c>
      <c r="BH48" s="90">
        <f>IFERROR(IF(F48="正常工资薪金",VLOOKUP(D48&amp;"*",个税上月累计情况!E:AN,36,0),0),0)</f>
        <v>0</v>
      </c>
      <c r="BI48" s="90">
        <f>IFERROR(IF(F48="正常工资薪金",VLOOKUP(D48&amp;"*",个税上月累计情况!D:AW,46,0),0),0)</f>
        <v>861.89</v>
      </c>
      <c r="BJ48" s="90">
        <f>IFERROR(IF(F48="正常工资薪金",VLOOKUP(D48&amp;"*",个税上月累计情况!D:AX,47,0),0),0)</f>
        <v>148.05</v>
      </c>
      <c r="BK48" t="e">
        <f>VLOOKUP(B48,花名册!C:N,12,0)</f>
        <v>#N/A</v>
      </c>
    </row>
    <row r="49" ht="19.5" hidden="1" spans="1:63">
      <c r="A49" s="87"/>
      <c r="B49" s="87" t="s">
        <v>361</v>
      </c>
      <c r="C49" s="87" t="s">
        <v>268</v>
      </c>
      <c r="D49" s="87" t="s">
        <v>362</v>
      </c>
      <c r="E49" s="87" t="s">
        <v>270</v>
      </c>
      <c r="F49" s="87" t="s">
        <v>271</v>
      </c>
      <c r="G49" s="89" t="e" cm="1">
        <f t="array" ref="G49">_xlfn.IFS(F49="正常工资薪金",VLOOKUP(D49&amp;"*",工资表明细!D:BL,61,0),F49="一般劳务报酬所得",VLOOKUP(D49&amp;"*",工资表明细!D:BJ,59,0),F49="全年一次性奖金收入",VLOOKUP(D49&amp;"*",工资表明细!D:BI,58,0),F49="解除劳动合同一次性补偿金",VLOOKUP(D49&amp;"*",工资表明细!D:BH,57,0))</f>
        <v>#N/A</v>
      </c>
      <c r="H49" s="89">
        <f t="shared" si="0"/>
        <v>0</v>
      </c>
      <c r="I49" s="89">
        <v>0</v>
      </c>
      <c r="J49" s="89">
        <f t="shared" si="1"/>
        <v>5000</v>
      </c>
      <c r="K49" s="89" t="e">
        <f>IF(F49="正常工资薪金",VLOOKUP(D49&amp;"*",工资表明细!D:AP,39,0),0)</f>
        <v>#N/A</v>
      </c>
      <c r="L49" s="89" t="e">
        <f>IF(F49="正常工资薪金",VLOOKUP(D49&amp;"*",工资表明细!D:AQ,40,0),0)</f>
        <v>#N/A</v>
      </c>
      <c r="M49" s="89" t="e">
        <f>IF(F49="正常工资薪金",VLOOKUP(D49&amp;"*",工资表明细!D:AR,41,0),0)</f>
        <v>#N/A</v>
      </c>
      <c r="N49" s="89" t="e">
        <f>IF(F49="正常工资薪金",VLOOKUP(D49&amp;"*",工资表明细!D:AT,43,0),0)</f>
        <v>#N/A</v>
      </c>
      <c r="O49" s="89">
        <v>44</v>
      </c>
      <c r="P49" s="89">
        <v>44</v>
      </c>
      <c r="Q49" s="89">
        <v>44</v>
      </c>
      <c r="R49" s="89">
        <v>44</v>
      </c>
      <c r="S49" s="89">
        <v>44</v>
      </c>
      <c r="T49" s="89">
        <v>44</v>
      </c>
      <c r="U49" s="89">
        <v>44</v>
      </c>
      <c r="V49" s="89">
        <v>44</v>
      </c>
      <c r="W49" s="87" t="s">
        <v>272</v>
      </c>
      <c r="X49" s="89">
        <v>44</v>
      </c>
      <c r="Y49" s="87" t="s">
        <v>272</v>
      </c>
      <c r="Z49" s="87" t="s">
        <v>272</v>
      </c>
      <c r="AA49" s="87" t="s">
        <v>272</v>
      </c>
      <c r="AB49" s="89">
        <v>44</v>
      </c>
      <c r="AC49" s="89" t="e">
        <f t="shared" si="2"/>
        <v>#N/A</v>
      </c>
      <c r="AD49" s="89">
        <f t="shared" si="3"/>
        <v>40000</v>
      </c>
      <c r="AE49" s="89" t="e">
        <f t="shared" si="4"/>
        <v>#N/A</v>
      </c>
      <c r="AF49" s="89">
        <f t="shared" si="5"/>
        <v>0</v>
      </c>
      <c r="AG49" s="89">
        <f t="shared" si="6"/>
        <v>0</v>
      </c>
      <c r="AH49" s="89">
        <f t="shared" si="7"/>
        <v>0</v>
      </c>
      <c r="AI49" s="89">
        <f t="shared" si="8"/>
        <v>0</v>
      </c>
      <c r="AJ49" s="89">
        <f t="shared" si="9"/>
        <v>0</v>
      </c>
      <c r="AK49" s="89">
        <f t="shared" si="10"/>
        <v>0</v>
      </c>
      <c r="AL49" s="89">
        <v>0</v>
      </c>
      <c r="AM49" s="89">
        <v>0</v>
      </c>
      <c r="AN49" s="87" t="s">
        <v>273</v>
      </c>
      <c r="AO49" s="89">
        <v>0</v>
      </c>
      <c r="AP49" s="89" t="e">
        <f t="shared" si="11"/>
        <v>#N/A</v>
      </c>
      <c r="AQ49" s="89" t="e" cm="1">
        <f t="array" ref="AQ49">_xlfn.IFS(F49="正常工资薪金",VLOOKUP(AP49,{0,0.03;36000,0.1;144000,0.2;300000,0.25;420000,0.3;660000,0.35;960000,0.45},2,1),F49="一般劳务报酬所得",IF(AP49&lt;=20000,0.2,IF(AP49&lt;=50000,0.3,0.4)),F49="全年一次性奖金收入",VLOOKUP(AP49/12,{0,0.03;3000,0.1;12000,0.2;25000,0.25;35000,0.3;55000,0.35;80000,0.45},2,1),F49="解除劳动合同一次性补偿金",VLOOKUP(AP49,{0,0.03;36000,0.1;144000,0.2;300000,0.25;420000,0.3;660000,0.35;960000,0.45},2,1))</f>
        <v>#N/A</v>
      </c>
      <c r="AR49" s="89" t="e" cm="1">
        <f t="array" ref="AR49">_xlfn.IFS(F49="正常工资薪金",VLOOKUP(AP49,{0,0;36000,2520;144000,16920;300000,31920;420000,52920;660000,85920;960000,181920},2,1),F49="一般劳务报酬所得",IF(AP49&lt;=20000,0,IF(AS&lt;=50000,2000,7000)),F49="全年一次性奖金收入",VLOOKUP(AP49/12,{0,0;3000,210;12000,1410;25000,2660;35000,4410;55000,7160;80000,15160},2,1),F49="解除劳动合同一次性补偿金",VLOOKUP(AP49,{0,0;36000,2520;144000,16920;300000,31920;420000,52920;660000,85920;960000,181920},2,1))</f>
        <v>#N/A</v>
      </c>
      <c r="AS49" s="89" t="e">
        <f t="shared" si="12"/>
        <v>#N/A</v>
      </c>
      <c r="AT49" s="89">
        <v>0</v>
      </c>
      <c r="AU49" s="89">
        <f t="shared" si="13"/>
        <v>782.89</v>
      </c>
      <c r="AV49" s="89" t="e">
        <f t="shared" si="14"/>
        <v>#N/A</v>
      </c>
      <c r="AW49" s="87"/>
      <c r="AX49" s="90">
        <f>IFERROR(IF(F49="正常工资薪金",VLOOKUP(D49&amp;"*",个税上月累计情况!E:AL,26,0),0),0)</f>
        <v>67270.28</v>
      </c>
      <c r="AY49" s="90">
        <f>IFERROR(IF(F49="正常工资薪金",VLOOKUP(D49&amp;"*",个税上月累计情况!E:AL,27,0),0),0)</f>
        <v>35000</v>
      </c>
      <c r="AZ49" s="90">
        <f>IFERROR(IF(F49="正常工资薪金",VLOOKUP(D49&amp;"*",个税上月累计情况!E:AL,28,0),0),0)</f>
        <v>6174.07</v>
      </c>
      <c r="BA49" s="90">
        <f>IFERROR(IF(F49="正常工资薪金",VLOOKUP(D49&amp;"*",个税上月累计情况!E:AL,29,0),0),0)</f>
        <v>0</v>
      </c>
      <c r="BB49" s="90">
        <f>IFERROR(IF(F49="正常工资薪金",VLOOKUP(D49&amp;"*",个税上月累计情况!E:AL,30,0),0),0)</f>
        <v>0</v>
      </c>
      <c r="BC49" s="90">
        <f>IFERROR(IF(F49="正常工资薪金",VLOOKUP(D49&amp;"*",个税上月累计情况!E:AL,31,0),0),0)</f>
        <v>0</v>
      </c>
      <c r="BD49" s="90">
        <f>IFERROR(IF(F49="正常工资薪金",VLOOKUP(D49&amp;"*",个税上月累计情况!E:AL,32,0),0),0)</f>
        <v>0</v>
      </c>
      <c r="BE49" s="90">
        <f>IFERROR(IF(F49="正常工资薪金",VLOOKUP(D49&amp;"*",个税上月累计情况!E:AL,33,0),0),0)</f>
        <v>0</v>
      </c>
      <c r="BF49" s="90">
        <f>IFERROR(IF(F49="正常工资薪金",VLOOKUP(D49&amp;"*",个税上月累计情况!E:AL,34,0),0),0)</f>
        <v>0</v>
      </c>
      <c r="BG49" s="90">
        <f>IFERROR(IF(F49="正常工资薪金",VLOOKUP(D49&amp;"*",个税上月累计情况!E:AN,35,0),0),0)</f>
        <v>0</v>
      </c>
      <c r="BH49" s="90">
        <f>IFERROR(IF(F49="正常工资薪金",VLOOKUP(D49&amp;"*",个税上月累计情况!E:AN,36,0),0),0)</f>
        <v>0</v>
      </c>
      <c r="BI49" s="90">
        <f>IFERROR(IF(F49="正常工资薪金",VLOOKUP(D49&amp;"*",个税上月累计情况!D:AW,46,0),0),0)</f>
        <v>669.85</v>
      </c>
      <c r="BJ49" s="90">
        <f>IFERROR(IF(F49="正常工资薪金",VLOOKUP(D49&amp;"*",个税上月累计情况!D:AX,47,0),0),0)</f>
        <v>113.04</v>
      </c>
      <c r="BK49" t="e">
        <f>VLOOKUP(B49,花名册!C:N,12,0)</f>
        <v>#N/A</v>
      </c>
    </row>
    <row r="50" ht="19.5" hidden="1" spans="1:63">
      <c r="A50" s="87"/>
      <c r="B50" s="87" t="s">
        <v>363</v>
      </c>
      <c r="C50" s="87" t="s">
        <v>268</v>
      </c>
      <c r="D50" s="87" t="s">
        <v>364</v>
      </c>
      <c r="E50" s="87" t="s">
        <v>270</v>
      </c>
      <c r="F50" s="87" t="s">
        <v>271</v>
      </c>
      <c r="G50" s="89" t="e" cm="1">
        <f t="array" ref="G50">_xlfn.IFS(F50="正常工资薪金",VLOOKUP(D50&amp;"*",工资表明细!D:BL,61,0),F50="一般劳务报酬所得",VLOOKUP(D50&amp;"*",工资表明细!D:BJ,59,0),F50="全年一次性奖金收入",VLOOKUP(D50&amp;"*",工资表明细!D:BI,58,0),F50="解除劳动合同一次性补偿金",VLOOKUP(D50&amp;"*",工资表明细!D:BH,57,0))</f>
        <v>#N/A</v>
      </c>
      <c r="H50" s="89">
        <f t="shared" si="0"/>
        <v>0</v>
      </c>
      <c r="I50" s="89">
        <v>0</v>
      </c>
      <c r="J50" s="89">
        <f t="shared" si="1"/>
        <v>5000</v>
      </c>
      <c r="K50" s="89" t="e">
        <f>IF(F50="正常工资薪金",VLOOKUP(D50&amp;"*",工资表明细!D:AP,39,0),0)</f>
        <v>#N/A</v>
      </c>
      <c r="L50" s="89" t="e">
        <f>IF(F50="正常工资薪金",VLOOKUP(D50&amp;"*",工资表明细!D:AQ,40,0),0)</f>
        <v>#N/A</v>
      </c>
      <c r="M50" s="89" t="e">
        <f>IF(F50="正常工资薪金",VLOOKUP(D50&amp;"*",工资表明细!D:AR,41,0),0)</f>
        <v>#N/A</v>
      </c>
      <c r="N50" s="89" t="e">
        <f>IF(F50="正常工资薪金",VLOOKUP(D50&amp;"*",工资表明细!D:AT,43,0),0)</f>
        <v>#N/A</v>
      </c>
      <c r="O50" s="89">
        <v>45</v>
      </c>
      <c r="P50" s="89">
        <v>45</v>
      </c>
      <c r="Q50" s="89">
        <v>45</v>
      </c>
      <c r="R50" s="89">
        <v>45</v>
      </c>
      <c r="S50" s="89">
        <v>45</v>
      </c>
      <c r="T50" s="89">
        <v>45</v>
      </c>
      <c r="U50" s="89">
        <v>45</v>
      </c>
      <c r="V50" s="89">
        <v>45</v>
      </c>
      <c r="W50" s="87" t="s">
        <v>272</v>
      </c>
      <c r="X50" s="89">
        <v>45</v>
      </c>
      <c r="Y50" s="87" t="s">
        <v>272</v>
      </c>
      <c r="Z50" s="87" t="s">
        <v>272</v>
      </c>
      <c r="AA50" s="87" t="s">
        <v>272</v>
      </c>
      <c r="AB50" s="89">
        <v>45</v>
      </c>
      <c r="AC50" s="89" t="e">
        <f t="shared" si="2"/>
        <v>#N/A</v>
      </c>
      <c r="AD50" s="89">
        <f t="shared" si="3"/>
        <v>40000</v>
      </c>
      <c r="AE50" s="89" t="e">
        <f t="shared" si="4"/>
        <v>#N/A</v>
      </c>
      <c r="AF50" s="89">
        <f t="shared" si="5"/>
        <v>0</v>
      </c>
      <c r="AG50" s="89">
        <f t="shared" si="6"/>
        <v>0</v>
      </c>
      <c r="AH50" s="89">
        <f t="shared" si="7"/>
        <v>0</v>
      </c>
      <c r="AI50" s="89">
        <f t="shared" si="8"/>
        <v>0</v>
      </c>
      <c r="AJ50" s="89">
        <f t="shared" si="9"/>
        <v>0</v>
      </c>
      <c r="AK50" s="89">
        <f t="shared" si="10"/>
        <v>0</v>
      </c>
      <c r="AL50" s="89">
        <v>0</v>
      </c>
      <c r="AM50" s="89">
        <v>0</v>
      </c>
      <c r="AN50" s="87" t="s">
        <v>273</v>
      </c>
      <c r="AO50" s="89">
        <v>0</v>
      </c>
      <c r="AP50" s="89" t="e">
        <f t="shared" si="11"/>
        <v>#N/A</v>
      </c>
      <c r="AQ50" s="89" t="e" cm="1">
        <f t="array" ref="AQ50">_xlfn.IFS(F50="正常工资薪金",VLOOKUP(AP50,{0,0.03;36000,0.1;144000,0.2;300000,0.25;420000,0.3;660000,0.35;960000,0.45},2,1),F50="一般劳务报酬所得",IF(AP50&lt;=20000,0.2,IF(AP50&lt;=50000,0.3,0.4)),F50="全年一次性奖金收入",VLOOKUP(AP50/12,{0,0.03;3000,0.1;12000,0.2;25000,0.25;35000,0.3;55000,0.35;80000,0.45},2,1),F50="解除劳动合同一次性补偿金",VLOOKUP(AP50,{0,0.03;36000,0.1;144000,0.2;300000,0.25;420000,0.3;660000,0.35;960000,0.45},2,1))</f>
        <v>#N/A</v>
      </c>
      <c r="AR50" s="89" t="e" cm="1">
        <f t="array" ref="AR50">_xlfn.IFS(F50="正常工资薪金",VLOOKUP(AP50,{0,0;36000,2520;144000,16920;300000,31920;420000,52920;660000,85920;960000,181920},2,1),F50="一般劳务报酬所得",IF(AP50&lt;=20000,0,IF(AS&lt;=50000,2000,7000)),F50="全年一次性奖金收入",VLOOKUP(AP50/12,{0,0;3000,210;12000,1410;25000,2660;35000,4410;55000,7160;80000,15160},2,1),F50="解除劳动合同一次性补偿金",VLOOKUP(AP50,{0,0;36000,2520;144000,16920;300000,31920;420000,52920;660000,85920;960000,181920},2,1))</f>
        <v>#N/A</v>
      </c>
      <c r="AS50" s="89" t="e">
        <f t="shared" si="12"/>
        <v>#N/A</v>
      </c>
      <c r="AT50" s="89">
        <v>0</v>
      </c>
      <c r="AU50" s="89">
        <f t="shared" si="13"/>
        <v>5624.8</v>
      </c>
      <c r="AV50" s="89" t="e">
        <f t="shared" si="14"/>
        <v>#N/A</v>
      </c>
      <c r="AW50" s="87"/>
      <c r="AX50" s="90">
        <f>IFERROR(IF(F50="正常工资薪金",VLOOKUP(D50&amp;"*",个税上月累计情况!E:AL,26,0),0),0)</f>
        <v>122622.07</v>
      </c>
      <c r="AY50" s="90">
        <f>IFERROR(IF(F50="正常工资薪金",VLOOKUP(D50&amp;"*",个税上月累计情况!E:AL,27,0),0),0)</f>
        <v>35000</v>
      </c>
      <c r="AZ50" s="90">
        <f>IFERROR(IF(F50="正常工资薪金",VLOOKUP(D50&amp;"*",个税上月累计情况!E:AL,28,0),0),0)</f>
        <v>6174.07</v>
      </c>
      <c r="BA50" s="90">
        <f>IFERROR(IF(F50="正常工资薪金",VLOOKUP(D50&amp;"*",个税上月累计情况!E:AL,29,0),0),0)</f>
        <v>0</v>
      </c>
      <c r="BB50" s="90">
        <f>IFERROR(IF(F50="正常工资薪金",VLOOKUP(D50&amp;"*",个税上月累计情况!E:AL,30,0),0),0)</f>
        <v>0</v>
      </c>
      <c r="BC50" s="90">
        <f>IFERROR(IF(F50="正常工资薪金",VLOOKUP(D50&amp;"*",个税上月累计情况!E:AL,31,0),0),0)</f>
        <v>0</v>
      </c>
      <c r="BD50" s="90">
        <f>IFERROR(IF(F50="正常工资薪金",VLOOKUP(D50&amp;"*",个税上月累计情况!E:AL,32,0),0),0)</f>
        <v>0</v>
      </c>
      <c r="BE50" s="90">
        <f>IFERROR(IF(F50="正常工资薪金",VLOOKUP(D50&amp;"*",个税上月累计情况!E:AL,33,0),0),0)</f>
        <v>0</v>
      </c>
      <c r="BF50" s="90">
        <f>IFERROR(IF(F50="正常工资薪金",VLOOKUP(D50&amp;"*",个税上月累计情况!E:AL,34,0),0),0)</f>
        <v>0</v>
      </c>
      <c r="BG50" s="90">
        <f>IFERROR(IF(F50="正常工资薪金",VLOOKUP(D50&amp;"*",个税上月累计情况!E:AN,35,0),0),0)</f>
        <v>0</v>
      </c>
      <c r="BH50" s="90">
        <f>IFERROR(IF(F50="正常工资薪金",VLOOKUP(D50&amp;"*",个税上月累计情况!E:AN,36,0),0),0)</f>
        <v>0</v>
      </c>
      <c r="BI50" s="90">
        <f>IFERROR(IF(F50="正常工资薪金",VLOOKUP(D50&amp;"*",个税上月累计情况!D:AW,46,0),0),0)</f>
        <v>4453</v>
      </c>
      <c r="BJ50" s="90">
        <f>IFERROR(IF(F50="正常工资薪金",VLOOKUP(D50&amp;"*",个税上月累计情况!D:AX,47,0),0),0)</f>
        <v>1171.8</v>
      </c>
      <c r="BK50" t="e">
        <f>VLOOKUP(B50,花名册!C:N,12,0)</f>
        <v>#N/A</v>
      </c>
    </row>
    <row r="51" ht="19.5" hidden="1" spans="1:63">
      <c r="A51" s="87"/>
      <c r="B51" s="87" t="s">
        <v>365</v>
      </c>
      <c r="C51" s="87" t="s">
        <v>268</v>
      </c>
      <c r="D51" s="87" t="s">
        <v>366</v>
      </c>
      <c r="E51" s="87" t="s">
        <v>270</v>
      </c>
      <c r="F51" s="87" t="s">
        <v>271</v>
      </c>
      <c r="G51" s="89" t="e" cm="1">
        <f t="array" ref="G51">_xlfn.IFS(F51="正常工资薪金",VLOOKUP(D51&amp;"*",工资表明细!D:BL,61,0),F51="一般劳务报酬所得",VLOOKUP(D51&amp;"*",工资表明细!D:BJ,59,0),F51="全年一次性奖金收入",VLOOKUP(D51&amp;"*",工资表明细!D:BI,58,0),F51="解除劳动合同一次性补偿金",VLOOKUP(D51&amp;"*",工资表明细!D:BH,57,0))</f>
        <v>#N/A</v>
      </c>
      <c r="H51" s="89">
        <f t="shared" si="0"/>
        <v>0</v>
      </c>
      <c r="I51" s="89">
        <v>0</v>
      </c>
      <c r="J51" s="89">
        <f t="shared" si="1"/>
        <v>5000</v>
      </c>
      <c r="K51" s="89" t="e">
        <f>IF(F51="正常工资薪金",VLOOKUP(D51&amp;"*",工资表明细!D:AP,39,0),0)</f>
        <v>#N/A</v>
      </c>
      <c r="L51" s="89" t="e">
        <f>IF(F51="正常工资薪金",VLOOKUP(D51&amp;"*",工资表明细!D:AQ,40,0),0)</f>
        <v>#N/A</v>
      </c>
      <c r="M51" s="89" t="e">
        <f>IF(F51="正常工资薪金",VLOOKUP(D51&amp;"*",工资表明细!D:AR,41,0),0)</f>
        <v>#N/A</v>
      </c>
      <c r="N51" s="89" t="e">
        <f>IF(F51="正常工资薪金",VLOOKUP(D51&amp;"*",工资表明细!D:AT,43,0),0)</f>
        <v>#N/A</v>
      </c>
      <c r="O51" s="89">
        <v>46</v>
      </c>
      <c r="P51" s="89">
        <v>46</v>
      </c>
      <c r="Q51" s="89">
        <v>46</v>
      </c>
      <c r="R51" s="89">
        <v>46</v>
      </c>
      <c r="S51" s="89">
        <v>46</v>
      </c>
      <c r="T51" s="89">
        <v>46</v>
      </c>
      <c r="U51" s="89">
        <v>46</v>
      </c>
      <c r="V51" s="89">
        <v>46</v>
      </c>
      <c r="W51" s="87" t="s">
        <v>272</v>
      </c>
      <c r="X51" s="89">
        <v>46</v>
      </c>
      <c r="Y51" s="87" t="s">
        <v>272</v>
      </c>
      <c r="Z51" s="87" t="s">
        <v>272</v>
      </c>
      <c r="AA51" s="87" t="s">
        <v>272</v>
      </c>
      <c r="AB51" s="89">
        <v>46</v>
      </c>
      <c r="AC51" s="89" t="e">
        <f t="shared" si="2"/>
        <v>#N/A</v>
      </c>
      <c r="AD51" s="89">
        <f t="shared" si="3"/>
        <v>40000</v>
      </c>
      <c r="AE51" s="89" t="e">
        <f t="shared" si="4"/>
        <v>#N/A</v>
      </c>
      <c r="AF51" s="89">
        <f t="shared" si="5"/>
        <v>0</v>
      </c>
      <c r="AG51" s="89">
        <f t="shared" si="6"/>
        <v>0</v>
      </c>
      <c r="AH51" s="89">
        <f t="shared" si="7"/>
        <v>0</v>
      </c>
      <c r="AI51" s="89">
        <f t="shared" si="8"/>
        <v>0</v>
      </c>
      <c r="AJ51" s="89">
        <f t="shared" si="9"/>
        <v>0</v>
      </c>
      <c r="AK51" s="89">
        <f t="shared" si="10"/>
        <v>0</v>
      </c>
      <c r="AL51" s="89">
        <v>0</v>
      </c>
      <c r="AM51" s="89">
        <v>0</v>
      </c>
      <c r="AN51" s="87" t="s">
        <v>273</v>
      </c>
      <c r="AO51" s="89">
        <v>0</v>
      </c>
      <c r="AP51" s="89" t="e">
        <f t="shared" si="11"/>
        <v>#N/A</v>
      </c>
      <c r="AQ51" s="89" t="e" cm="1">
        <f t="array" ref="AQ51">_xlfn.IFS(F51="正常工资薪金",VLOOKUP(AP51,{0,0.03;36000,0.1;144000,0.2;300000,0.25;420000,0.3;660000,0.35;960000,0.45},2,1),F51="一般劳务报酬所得",IF(AP51&lt;=20000,0.2,IF(AP51&lt;=50000,0.3,0.4)),F51="全年一次性奖金收入",VLOOKUP(AP51/12,{0,0.03;3000,0.1;12000,0.2;25000,0.25;35000,0.3;55000,0.35;80000,0.45},2,1),F51="解除劳动合同一次性补偿金",VLOOKUP(AP51,{0,0.03;36000,0.1;144000,0.2;300000,0.25;420000,0.3;660000,0.35;960000,0.45},2,1))</f>
        <v>#N/A</v>
      </c>
      <c r="AR51" s="89" t="e" cm="1">
        <f t="array" ref="AR51">_xlfn.IFS(F51="正常工资薪金",VLOOKUP(AP51,{0,0;36000,2520;144000,16920;300000,31920;420000,52920;660000,85920;960000,181920},2,1),F51="一般劳务报酬所得",IF(AP51&lt;=20000,0,IF(AS&lt;=50000,2000,7000)),F51="全年一次性奖金收入",VLOOKUP(AP51/12,{0,0;3000,210;12000,1410;25000,2660;35000,4410;55000,7160;80000,15160},2,1),F51="解除劳动合同一次性补偿金",VLOOKUP(AP51,{0,0;36000,2520;144000,16920;300000,31920;420000,52920;660000,85920;960000,181920},2,1))</f>
        <v>#N/A</v>
      </c>
      <c r="AS51" s="89" t="e">
        <f t="shared" si="12"/>
        <v>#N/A</v>
      </c>
      <c r="AT51" s="89">
        <v>0</v>
      </c>
      <c r="AU51" s="89">
        <f t="shared" si="13"/>
        <v>436.55</v>
      </c>
      <c r="AV51" s="89" t="e">
        <f t="shared" si="14"/>
        <v>#N/A</v>
      </c>
      <c r="AW51" s="87"/>
      <c r="AX51" s="90">
        <f>IFERROR(IF(F51="正常工资薪金",VLOOKUP(D51&amp;"*",个税上月累计情况!E:AL,26,0),0),0)</f>
        <v>78591.45</v>
      </c>
      <c r="AY51" s="90">
        <f>IFERROR(IF(F51="正常工资薪金",VLOOKUP(D51&amp;"*",个税上月累计情况!E:AL,27,0),0),0)</f>
        <v>35000</v>
      </c>
      <c r="AZ51" s="90">
        <f>IFERROR(IF(F51="正常工资薪金",VLOOKUP(D51&amp;"*",个税上月累计情况!E:AL,28,0),0),0)</f>
        <v>4539.71</v>
      </c>
      <c r="BA51" s="90">
        <f>IFERROR(IF(F51="正常工资薪金",VLOOKUP(D51&amp;"*",个税上月累计情况!E:AL,29,0),0),0)</f>
        <v>14000</v>
      </c>
      <c r="BB51" s="90">
        <f>IFERROR(IF(F51="正常工资薪金",VLOOKUP(D51&amp;"*",个税上月累计情况!E:AL,30,0),0),0)</f>
        <v>10500</v>
      </c>
      <c r="BC51" s="90">
        <f>IFERROR(IF(F51="正常工资薪金",VLOOKUP(D51&amp;"*",个税上月累计情况!E:AL,31,0),0),0)</f>
        <v>0</v>
      </c>
      <c r="BD51" s="90">
        <f>IFERROR(IF(F51="正常工资薪金",VLOOKUP(D51&amp;"*",个税上月累计情况!E:AL,32,0),0),0)</f>
        <v>0</v>
      </c>
      <c r="BE51" s="90">
        <f>IFERROR(IF(F51="正常工资薪金",VLOOKUP(D51&amp;"*",个税上月累计情况!E:AL,33,0),0),0)</f>
        <v>0</v>
      </c>
      <c r="BF51" s="90">
        <f>IFERROR(IF(F51="正常工资薪金",VLOOKUP(D51&amp;"*",个税上月累计情况!E:AL,34,0),0),0)</f>
        <v>0</v>
      </c>
      <c r="BG51" s="90">
        <f>IFERROR(IF(F51="正常工资薪金",VLOOKUP(D51&amp;"*",个税上月累计情况!E:AN,35,0),0),0)</f>
        <v>0</v>
      </c>
      <c r="BH51" s="90">
        <f>IFERROR(IF(F51="正常工资薪金",VLOOKUP(D51&amp;"*",个税上月累计情况!E:AN,36,0),0),0)</f>
        <v>0</v>
      </c>
      <c r="BI51" s="90">
        <f>IFERROR(IF(F51="正常工资薪金",VLOOKUP(D51&amp;"*",个税上月累计情况!D:AW,46,0),0),0)</f>
        <v>373.51</v>
      </c>
      <c r="BJ51" s="90">
        <f>IFERROR(IF(F51="正常工资薪金",VLOOKUP(D51&amp;"*",个税上月累计情况!D:AX,47,0),0),0)</f>
        <v>63.04</v>
      </c>
      <c r="BK51" t="e">
        <f>VLOOKUP(B51,花名册!C:N,12,0)</f>
        <v>#N/A</v>
      </c>
    </row>
    <row r="52" ht="19.5" hidden="1" spans="1:63">
      <c r="A52" s="87"/>
      <c r="B52" s="87" t="s">
        <v>367</v>
      </c>
      <c r="C52" s="87" t="s">
        <v>268</v>
      </c>
      <c r="D52" s="87" t="s">
        <v>368</v>
      </c>
      <c r="E52" s="87" t="s">
        <v>270</v>
      </c>
      <c r="F52" s="87" t="s">
        <v>271</v>
      </c>
      <c r="G52" s="89" t="e" cm="1">
        <f t="array" ref="G52">_xlfn.IFS(F52="正常工资薪金",VLOOKUP(D52&amp;"*",工资表明细!D:BL,61,0),F52="一般劳务报酬所得",VLOOKUP(D52&amp;"*",工资表明细!D:BJ,59,0),F52="全年一次性奖金收入",VLOOKUP(D52&amp;"*",工资表明细!D:BI,58,0),F52="解除劳动合同一次性补偿金",VLOOKUP(D52&amp;"*",工资表明细!D:BH,57,0))</f>
        <v>#N/A</v>
      </c>
      <c r="H52" s="89">
        <f t="shared" si="0"/>
        <v>0</v>
      </c>
      <c r="I52" s="89">
        <v>0</v>
      </c>
      <c r="J52" s="89">
        <f t="shared" si="1"/>
        <v>5000</v>
      </c>
      <c r="K52" s="89" t="e">
        <f>IF(F52="正常工资薪金",VLOOKUP(D52&amp;"*",工资表明细!D:AP,39,0),0)</f>
        <v>#N/A</v>
      </c>
      <c r="L52" s="89" t="e">
        <f>IF(F52="正常工资薪金",VLOOKUP(D52&amp;"*",工资表明细!D:AQ,40,0),0)</f>
        <v>#N/A</v>
      </c>
      <c r="M52" s="89" t="e">
        <f>IF(F52="正常工资薪金",VLOOKUP(D52&amp;"*",工资表明细!D:AR,41,0),0)</f>
        <v>#N/A</v>
      </c>
      <c r="N52" s="89" t="e">
        <f>IF(F52="正常工资薪金",VLOOKUP(D52&amp;"*",工资表明细!D:AT,43,0),0)</f>
        <v>#N/A</v>
      </c>
      <c r="O52" s="89">
        <v>47</v>
      </c>
      <c r="P52" s="89">
        <v>47</v>
      </c>
      <c r="Q52" s="89">
        <v>47</v>
      </c>
      <c r="R52" s="89">
        <v>47</v>
      </c>
      <c r="S52" s="89">
        <v>47</v>
      </c>
      <c r="T52" s="89">
        <v>47</v>
      </c>
      <c r="U52" s="89">
        <v>47</v>
      </c>
      <c r="V52" s="89">
        <v>47</v>
      </c>
      <c r="W52" s="87" t="s">
        <v>272</v>
      </c>
      <c r="X52" s="89">
        <v>47</v>
      </c>
      <c r="Y52" s="87" t="s">
        <v>272</v>
      </c>
      <c r="Z52" s="87" t="s">
        <v>272</v>
      </c>
      <c r="AA52" s="87" t="s">
        <v>272</v>
      </c>
      <c r="AB52" s="89">
        <v>47</v>
      </c>
      <c r="AC52" s="89" t="e">
        <f t="shared" si="2"/>
        <v>#N/A</v>
      </c>
      <c r="AD52" s="89">
        <f t="shared" si="3"/>
        <v>40000</v>
      </c>
      <c r="AE52" s="89" t="e">
        <f t="shared" si="4"/>
        <v>#N/A</v>
      </c>
      <c r="AF52" s="89">
        <f t="shared" si="5"/>
        <v>0</v>
      </c>
      <c r="AG52" s="89">
        <f t="shared" si="6"/>
        <v>0</v>
      </c>
      <c r="AH52" s="89">
        <f t="shared" si="7"/>
        <v>0</v>
      </c>
      <c r="AI52" s="89">
        <f t="shared" si="8"/>
        <v>0</v>
      </c>
      <c r="AJ52" s="89">
        <f t="shared" si="9"/>
        <v>0</v>
      </c>
      <c r="AK52" s="89">
        <f t="shared" si="10"/>
        <v>0</v>
      </c>
      <c r="AL52" s="89">
        <v>0</v>
      </c>
      <c r="AM52" s="89">
        <v>0</v>
      </c>
      <c r="AN52" s="87" t="s">
        <v>273</v>
      </c>
      <c r="AO52" s="89">
        <v>0</v>
      </c>
      <c r="AP52" s="89" t="e">
        <f t="shared" si="11"/>
        <v>#N/A</v>
      </c>
      <c r="AQ52" s="89" t="e" cm="1">
        <f t="array" ref="AQ52">_xlfn.IFS(F52="正常工资薪金",VLOOKUP(AP52,{0,0.03;36000,0.1;144000,0.2;300000,0.25;420000,0.3;660000,0.35;960000,0.45},2,1),F52="一般劳务报酬所得",IF(AP52&lt;=20000,0.2,IF(AP52&lt;=50000,0.3,0.4)),F52="全年一次性奖金收入",VLOOKUP(AP52/12,{0,0.03;3000,0.1;12000,0.2;25000,0.25;35000,0.3;55000,0.35;80000,0.45},2,1),F52="解除劳动合同一次性补偿金",VLOOKUP(AP52,{0,0.03;36000,0.1;144000,0.2;300000,0.25;420000,0.3;660000,0.35;960000,0.45},2,1))</f>
        <v>#N/A</v>
      </c>
      <c r="AR52" s="89" t="e" cm="1">
        <f t="array" ref="AR52">_xlfn.IFS(F52="正常工资薪金",VLOOKUP(AP52,{0,0;36000,2520;144000,16920;300000,31920;420000,52920;660000,85920;960000,181920},2,1),F52="一般劳务报酬所得",IF(AP52&lt;=20000,0,IF(AS&lt;=50000,2000,7000)),F52="全年一次性奖金收入",VLOOKUP(AP52/12,{0,0;3000,210;12000,1410;25000,2660;35000,4410;55000,7160;80000,15160},2,1),F52="解除劳动合同一次性补偿金",VLOOKUP(AP52,{0,0;36000,2520;144000,16920;300000,31920;420000,52920;660000,85920;960000,181920},2,1))</f>
        <v>#N/A</v>
      </c>
      <c r="AS52" s="89" t="e">
        <f t="shared" si="12"/>
        <v>#N/A</v>
      </c>
      <c r="AT52" s="89">
        <v>0</v>
      </c>
      <c r="AU52" s="89">
        <f t="shared" si="13"/>
        <v>251.83</v>
      </c>
      <c r="AV52" s="89" t="e">
        <f t="shared" si="14"/>
        <v>#N/A</v>
      </c>
      <c r="AW52" s="87"/>
      <c r="AX52" s="90">
        <f>IFERROR(IF(F52="正常工资薪金",VLOOKUP(D52&amp;"*",个税上月累计情况!E:AL,26,0),0),0)</f>
        <v>48686.27</v>
      </c>
      <c r="AY52" s="90">
        <f>IFERROR(IF(F52="正常工资薪金",VLOOKUP(D52&amp;"*",个税上月累计情况!E:AL,27,0),0),0)</f>
        <v>35000</v>
      </c>
      <c r="AZ52" s="90">
        <f>IFERROR(IF(F52="正常工资薪金",VLOOKUP(D52&amp;"*",个税上月累计情况!E:AL,28,0),0),0)</f>
        <v>5292.06</v>
      </c>
      <c r="BA52" s="90">
        <f>IFERROR(IF(F52="正常工资薪金",VLOOKUP(D52&amp;"*",个税上月累计情况!E:AL,29,0),0),0)</f>
        <v>0</v>
      </c>
      <c r="BB52" s="90">
        <f>IFERROR(IF(F52="正常工资薪金",VLOOKUP(D52&amp;"*",个税上月累计情况!E:AL,30,0),0),0)</f>
        <v>0</v>
      </c>
      <c r="BC52" s="90">
        <f>IFERROR(IF(F52="正常工资薪金",VLOOKUP(D52&amp;"*",个税上月累计情况!E:AL,31,0),0),0)</f>
        <v>0</v>
      </c>
      <c r="BD52" s="90">
        <f>IFERROR(IF(F52="正常工资薪金",VLOOKUP(D52&amp;"*",个税上月累计情况!E:AL,32,0),0),0)</f>
        <v>0</v>
      </c>
      <c r="BE52" s="90">
        <f>IFERROR(IF(F52="正常工资薪金",VLOOKUP(D52&amp;"*",个税上月累计情况!E:AL,33,0),0),0)</f>
        <v>0</v>
      </c>
      <c r="BF52" s="90">
        <f>IFERROR(IF(F52="正常工资薪金",VLOOKUP(D52&amp;"*",个税上月累计情况!E:AL,34,0),0),0)</f>
        <v>0</v>
      </c>
      <c r="BG52" s="90">
        <f>IFERROR(IF(F52="正常工资薪金",VLOOKUP(D52&amp;"*",个税上月累计情况!E:AN,35,0),0),0)</f>
        <v>0</v>
      </c>
      <c r="BH52" s="90">
        <f>IFERROR(IF(F52="正常工资薪金",VLOOKUP(D52&amp;"*",个税上月累计情况!E:AN,36,0),0),0)</f>
        <v>0</v>
      </c>
      <c r="BI52" s="90">
        <f>IFERROR(IF(F52="正常工资薪金",VLOOKUP(D52&amp;"*",个税上月累计情况!D:AW,46,0),0),0)</f>
        <v>186.79</v>
      </c>
      <c r="BJ52" s="90">
        <f>IFERROR(IF(F52="正常工资薪金",VLOOKUP(D52&amp;"*",个税上月累计情况!D:AX,47,0),0),0)</f>
        <v>65.04</v>
      </c>
      <c r="BK52" t="e">
        <f>VLOOKUP(B52,花名册!C:N,12,0)</f>
        <v>#N/A</v>
      </c>
    </row>
    <row r="53" ht="19.5" hidden="1" spans="1:63">
      <c r="A53" s="87"/>
      <c r="B53" s="87" t="s">
        <v>369</v>
      </c>
      <c r="C53" s="87" t="s">
        <v>268</v>
      </c>
      <c r="D53" s="87" t="s">
        <v>370</v>
      </c>
      <c r="E53" s="87" t="s">
        <v>270</v>
      </c>
      <c r="F53" s="87" t="s">
        <v>271</v>
      </c>
      <c r="G53" s="89" t="e" cm="1">
        <f t="array" ref="G53">_xlfn.IFS(F53="正常工资薪金",VLOOKUP(D53&amp;"*",工资表明细!D:BL,61,0),F53="一般劳务报酬所得",VLOOKUP(D53&amp;"*",工资表明细!D:BJ,59,0),F53="全年一次性奖金收入",VLOOKUP(D53&amp;"*",工资表明细!D:BI,58,0),F53="解除劳动合同一次性补偿金",VLOOKUP(D53&amp;"*",工资表明细!D:BH,57,0))</f>
        <v>#N/A</v>
      </c>
      <c r="H53" s="89">
        <f t="shared" si="0"/>
        <v>0</v>
      </c>
      <c r="I53" s="89">
        <v>0</v>
      </c>
      <c r="J53" s="89">
        <f t="shared" si="1"/>
        <v>5000</v>
      </c>
      <c r="K53" s="89" t="e">
        <f>IF(F53="正常工资薪金",VLOOKUP(D53&amp;"*",工资表明细!D:AP,39,0),0)</f>
        <v>#N/A</v>
      </c>
      <c r="L53" s="89" t="e">
        <f>IF(F53="正常工资薪金",VLOOKUP(D53&amp;"*",工资表明细!D:AQ,40,0),0)</f>
        <v>#N/A</v>
      </c>
      <c r="M53" s="89" t="e">
        <f>IF(F53="正常工资薪金",VLOOKUP(D53&amp;"*",工资表明细!D:AR,41,0),0)</f>
        <v>#N/A</v>
      </c>
      <c r="N53" s="89" t="e">
        <f>IF(F53="正常工资薪金",VLOOKUP(D53&amp;"*",工资表明细!D:AT,43,0),0)</f>
        <v>#N/A</v>
      </c>
      <c r="O53" s="89">
        <v>48</v>
      </c>
      <c r="P53" s="89">
        <v>48</v>
      </c>
      <c r="Q53" s="89">
        <v>48</v>
      </c>
      <c r="R53" s="89">
        <v>48</v>
      </c>
      <c r="S53" s="89">
        <v>48</v>
      </c>
      <c r="T53" s="89">
        <v>48</v>
      </c>
      <c r="U53" s="89">
        <v>48</v>
      </c>
      <c r="V53" s="89">
        <v>48</v>
      </c>
      <c r="W53" s="87" t="s">
        <v>272</v>
      </c>
      <c r="X53" s="89">
        <v>48</v>
      </c>
      <c r="Y53" s="87" t="s">
        <v>272</v>
      </c>
      <c r="Z53" s="87" t="s">
        <v>272</v>
      </c>
      <c r="AA53" s="87" t="s">
        <v>272</v>
      </c>
      <c r="AB53" s="89">
        <v>48</v>
      </c>
      <c r="AC53" s="89" t="e">
        <f t="shared" si="2"/>
        <v>#N/A</v>
      </c>
      <c r="AD53" s="89">
        <f t="shared" si="3"/>
        <v>30000</v>
      </c>
      <c r="AE53" s="89" t="e">
        <f t="shared" si="4"/>
        <v>#N/A</v>
      </c>
      <c r="AF53" s="89">
        <f t="shared" si="5"/>
        <v>0</v>
      </c>
      <c r="AG53" s="89">
        <f t="shared" si="6"/>
        <v>0</v>
      </c>
      <c r="AH53" s="89">
        <f t="shared" si="7"/>
        <v>0</v>
      </c>
      <c r="AI53" s="89">
        <f t="shared" si="8"/>
        <v>0</v>
      </c>
      <c r="AJ53" s="89">
        <f t="shared" si="9"/>
        <v>0</v>
      </c>
      <c r="AK53" s="89">
        <f t="shared" si="10"/>
        <v>0</v>
      </c>
      <c r="AL53" s="89">
        <v>0</v>
      </c>
      <c r="AM53" s="89">
        <v>0</v>
      </c>
      <c r="AN53" s="87" t="s">
        <v>273</v>
      </c>
      <c r="AO53" s="89">
        <v>0</v>
      </c>
      <c r="AP53" s="89" t="e">
        <f t="shared" si="11"/>
        <v>#N/A</v>
      </c>
      <c r="AQ53" s="89" t="e" cm="1">
        <f t="array" ref="AQ53">_xlfn.IFS(F53="正常工资薪金",VLOOKUP(AP53,{0,0.03;36000,0.1;144000,0.2;300000,0.25;420000,0.3;660000,0.35;960000,0.45},2,1),F53="一般劳务报酬所得",IF(AP53&lt;=20000,0.2,IF(AP53&lt;=50000,0.3,0.4)),F53="全年一次性奖金收入",VLOOKUP(AP53/12,{0,0.03;3000,0.1;12000,0.2;25000,0.25;35000,0.3;55000,0.35;80000,0.45},2,1),F53="解除劳动合同一次性补偿金",VLOOKUP(AP53,{0,0.03;36000,0.1;144000,0.2;300000,0.25;420000,0.3;660000,0.35;960000,0.45},2,1))</f>
        <v>#N/A</v>
      </c>
      <c r="AR53" s="89" t="e" cm="1">
        <f t="array" ref="AR53">_xlfn.IFS(F53="正常工资薪金",VLOOKUP(AP53,{0,0;36000,2520;144000,16920;300000,31920;420000,52920;660000,85920;960000,181920},2,1),F53="一般劳务报酬所得",IF(AP53&lt;=20000,0,IF(AS&lt;=50000,2000,7000)),F53="全年一次性奖金收入",VLOOKUP(AP53/12,{0,0;3000,210;12000,1410;25000,2660;35000,4410;55000,7160;80000,15160},2,1),F53="解除劳动合同一次性补偿金",VLOOKUP(AP53,{0,0;36000,2520;144000,16920;300000,31920;420000,52920;660000,85920;960000,181920},2,1))</f>
        <v>#N/A</v>
      </c>
      <c r="AS53" s="89" t="e">
        <f t="shared" si="12"/>
        <v>#N/A</v>
      </c>
      <c r="AT53" s="89">
        <v>0</v>
      </c>
      <c r="AU53" s="89">
        <f t="shared" si="13"/>
        <v>966.92</v>
      </c>
      <c r="AV53" s="89" t="e">
        <f t="shared" si="14"/>
        <v>#N/A</v>
      </c>
      <c r="AW53" s="87"/>
      <c r="AX53" s="90">
        <f>IFERROR(IF(F53="正常工资薪金",VLOOKUP(D53&amp;"*",个税上月累计情况!E:AL,26,0),0),0)</f>
        <v>59856.92</v>
      </c>
      <c r="AY53" s="90">
        <f>IFERROR(IF(F53="正常工资薪金",VLOOKUP(D53&amp;"*",个税上月累计情况!E:AL,27,0),0),0)</f>
        <v>25000</v>
      </c>
      <c r="AZ53" s="90">
        <f>IFERROR(IF(F53="正常工资薪金",VLOOKUP(D53&amp;"*",个税上月累计情况!E:AL,28,0),0),0)</f>
        <v>2626.12</v>
      </c>
      <c r="BA53" s="90">
        <f>IFERROR(IF(F53="正常工资薪金",VLOOKUP(D53&amp;"*",个税上月累计情况!E:AL,29,0),0),0)</f>
        <v>0</v>
      </c>
      <c r="BB53" s="90">
        <f>IFERROR(IF(F53="正常工资薪金",VLOOKUP(D53&amp;"*",个税上月累计情况!E:AL,30,0),0),0)</f>
        <v>0</v>
      </c>
      <c r="BC53" s="90">
        <f>IFERROR(IF(F53="正常工资薪金",VLOOKUP(D53&amp;"*",个税上月累计情况!E:AL,31,0),0),0)</f>
        <v>0</v>
      </c>
      <c r="BD53" s="90">
        <f>IFERROR(IF(F53="正常工资薪金",VLOOKUP(D53&amp;"*",个税上月累计情况!E:AL,32,0),0),0)</f>
        <v>0</v>
      </c>
      <c r="BE53" s="90">
        <f>IFERROR(IF(F53="正常工资薪金",VLOOKUP(D53&amp;"*",个税上月累计情况!E:AL,33,0),0),0)</f>
        <v>0</v>
      </c>
      <c r="BF53" s="90">
        <f>IFERROR(IF(F53="正常工资薪金",VLOOKUP(D53&amp;"*",个税上月累计情况!E:AL,34,0),0),0)</f>
        <v>0</v>
      </c>
      <c r="BG53" s="90">
        <f>IFERROR(IF(F53="正常工资薪金",VLOOKUP(D53&amp;"*",个税上月累计情况!E:AN,35,0),0),0)</f>
        <v>0</v>
      </c>
      <c r="BH53" s="90">
        <f>IFERROR(IF(F53="正常工资薪金",VLOOKUP(D53&amp;"*",个税上月累计情况!E:AN,36,0),0),0)</f>
        <v>0</v>
      </c>
      <c r="BI53" s="90">
        <f>IFERROR(IF(F53="正常工资薪金",VLOOKUP(D53&amp;"*",个税上月累计情况!D:AW,46,0),0),0)</f>
        <v>778.02</v>
      </c>
      <c r="BJ53" s="90">
        <f>IFERROR(IF(F53="正常工资薪金",VLOOKUP(D53&amp;"*",个税上月累计情况!D:AX,47,0),0),0)</f>
        <v>188.9</v>
      </c>
      <c r="BK53" t="e">
        <f>VLOOKUP(B53,花名册!C:N,12,0)</f>
        <v>#N/A</v>
      </c>
    </row>
    <row r="54" ht="19.5" hidden="1" spans="1:63">
      <c r="A54" s="87"/>
      <c r="B54" s="87" t="s">
        <v>371</v>
      </c>
      <c r="C54" s="87" t="s">
        <v>268</v>
      </c>
      <c r="D54" s="87" t="s">
        <v>372</v>
      </c>
      <c r="E54" s="87" t="s">
        <v>270</v>
      </c>
      <c r="F54" s="87" t="s">
        <v>271</v>
      </c>
      <c r="G54" s="89" t="e" cm="1">
        <f t="array" ref="G54">_xlfn.IFS(F54="正常工资薪金",VLOOKUP(D54&amp;"*",工资表明细!D:BL,61,0),F54="一般劳务报酬所得",VLOOKUP(D54&amp;"*",工资表明细!D:BJ,59,0),F54="全年一次性奖金收入",VLOOKUP(D54&amp;"*",工资表明细!D:BI,58,0),F54="解除劳动合同一次性补偿金",VLOOKUP(D54&amp;"*",工资表明细!D:BH,57,0))</f>
        <v>#N/A</v>
      </c>
      <c r="H54" s="89">
        <f t="shared" si="0"/>
        <v>0</v>
      </c>
      <c r="I54" s="89">
        <v>0</v>
      </c>
      <c r="J54" s="89">
        <f t="shared" si="1"/>
        <v>5000</v>
      </c>
      <c r="K54" s="89" t="e">
        <f>IF(F54="正常工资薪金",VLOOKUP(D54&amp;"*",工资表明细!D:AP,39,0),0)</f>
        <v>#N/A</v>
      </c>
      <c r="L54" s="89" t="e">
        <f>IF(F54="正常工资薪金",VLOOKUP(D54&amp;"*",工资表明细!D:AQ,40,0),0)</f>
        <v>#N/A</v>
      </c>
      <c r="M54" s="89" t="e">
        <f>IF(F54="正常工资薪金",VLOOKUP(D54&amp;"*",工资表明细!D:AR,41,0),0)</f>
        <v>#N/A</v>
      </c>
      <c r="N54" s="89" t="e">
        <f>IF(F54="正常工资薪金",VLOOKUP(D54&amp;"*",工资表明细!D:AT,43,0),0)</f>
        <v>#N/A</v>
      </c>
      <c r="O54" s="89">
        <v>49</v>
      </c>
      <c r="P54" s="89">
        <v>49</v>
      </c>
      <c r="Q54" s="89">
        <v>49</v>
      </c>
      <c r="R54" s="89">
        <v>49</v>
      </c>
      <c r="S54" s="89">
        <v>49</v>
      </c>
      <c r="T54" s="89">
        <v>49</v>
      </c>
      <c r="U54" s="89">
        <v>49</v>
      </c>
      <c r="V54" s="89">
        <v>49</v>
      </c>
      <c r="W54" s="87" t="s">
        <v>272</v>
      </c>
      <c r="X54" s="89">
        <v>49</v>
      </c>
      <c r="Y54" s="87" t="s">
        <v>272</v>
      </c>
      <c r="Z54" s="87" t="s">
        <v>272</v>
      </c>
      <c r="AA54" s="87" t="s">
        <v>272</v>
      </c>
      <c r="AB54" s="89">
        <v>49</v>
      </c>
      <c r="AC54" s="89" t="e">
        <f t="shared" si="2"/>
        <v>#N/A</v>
      </c>
      <c r="AD54" s="89">
        <f t="shared" si="3"/>
        <v>30000</v>
      </c>
      <c r="AE54" s="89" t="e">
        <f t="shared" si="4"/>
        <v>#N/A</v>
      </c>
      <c r="AF54" s="89">
        <f t="shared" si="5"/>
        <v>0</v>
      </c>
      <c r="AG54" s="89">
        <f t="shared" si="6"/>
        <v>0</v>
      </c>
      <c r="AH54" s="89">
        <f t="shared" si="7"/>
        <v>0</v>
      </c>
      <c r="AI54" s="89">
        <f t="shared" si="8"/>
        <v>0</v>
      </c>
      <c r="AJ54" s="89">
        <f t="shared" si="9"/>
        <v>0</v>
      </c>
      <c r="AK54" s="89">
        <f t="shared" si="10"/>
        <v>0</v>
      </c>
      <c r="AL54" s="89">
        <v>0</v>
      </c>
      <c r="AM54" s="89">
        <v>0</v>
      </c>
      <c r="AN54" s="87" t="s">
        <v>273</v>
      </c>
      <c r="AO54" s="89">
        <v>0</v>
      </c>
      <c r="AP54" s="89" t="e">
        <f t="shared" si="11"/>
        <v>#N/A</v>
      </c>
      <c r="AQ54" s="89" t="e" cm="1">
        <f t="array" ref="AQ54">_xlfn.IFS(F54="正常工资薪金",VLOOKUP(AP54,{0,0.03;36000,0.1;144000,0.2;300000,0.25;420000,0.3;660000,0.35;960000,0.45},2,1),F54="一般劳务报酬所得",IF(AP54&lt;=20000,0.2,IF(AP54&lt;=50000,0.3,0.4)),F54="全年一次性奖金收入",VLOOKUP(AP54/12,{0,0.03;3000,0.1;12000,0.2;25000,0.25;35000,0.3;55000,0.35;80000,0.45},2,1),F54="解除劳动合同一次性补偿金",VLOOKUP(AP54,{0,0.03;36000,0.1;144000,0.2;300000,0.25;420000,0.3;660000,0.35;960000,0.45},2,1))</f>
        <v>#N/A</v>
      </c>
      <c r="AR54" s="89" t="e" cm="1">
        <f t="array" ref="AR54">_xlfn.IFS(F54="正常工资薪金",VLOOKUP(AP54,{0,0;36000,2520;144000,16920;300000,31920;420000,52920;660000,85920;960000,181920},2,1),F54="一般劳务报酬所得",IF(AP54&lt;=20000,0,IF(AS&lt;=50000,2000,7000)),F54="全年一次性奖金收入",VLOOKUP(AP54/12,{0,0;3000,210;12000,1410;25000,2660;35000,4410;55000,7160;80000,15160},2,1),F54="解除劳动合同一次性补偿金",VLOOKUP(AP54,{0,0;36000,2520;144000,16920;300000,31920;420000,52920;660000,85920;960000,181920},2,1))</f>
        <v>#N/A</v>
      </c>
      <c r="AS54" s="89" t="e">
        <f t="shared" si="12"/>
        <v>#N/A</v>
      </c>
      <c r="AT54" s="89">
        <v>0</v>
      </c>
      <c r="AU54" s="89">
        <f t="shared" si="13"/>
        <v>134.61</v>
      </c>
      <c r="AV54" s="89" t="e">
        <f t="shared" si="14"/>
        <v>#N/A</v>
      </c>
      <c r="AW54" s="87"/>
      <c r="AX54" s="90">
        <f>IFERROR(IF(F54="正常工资薪金",VLOOKUP(D54&amp;"*",个税上月累计情况!E:AL,26,0),0),0)</f>
        <v>33897.03</v>
      </c>
      <c r="AY54" s="90">
        <f>IFERROR(IF(F54="正常工资薪金",VLOOKUP(D54&amp;"*",个税上月累计情况!E:AL,27,0),0),0)</f>
        <v>25000</v>
      </c>
      <c r="AZ54" s="90">
        <f>IFERROR(IF(F54="正常工资薪金",VLOOKUP(D54&amp;"*",个税上月累计情况!E:AL,28,0),0),0)</f>
        <v>4410.05</v>
      </c>
      <c r="BA54" s="90">
        <f>IFERROR(IF(F54="正常工资薪金",VLOOKUP(D54&amp;"*",个税上月累计情况!E:AL,29,0),0),0)</f>
        <v>0</v>
      </c>
      <c r="BB54" s="90">
        <f>IFERROR(IF(F54="正常工资薪金",VLOOKUP(D54&amp;"*",个税上月累计情况!E:AL,30,0),0),0)</f>
        <v>0</v>
      </c>
      <c r="BC54" s="90">
        <f>IFERROR(IF(F54="正常工资薪金",VLOOKUP(D54&amp;"*",个税上月累计情况!E:AL,31,0),0),0)</f>
        <v>0</v>
      </c>
      <c r="BD54" s="90">
        <f>IFERROR(IF(F54="正常工资薪金",VLOOKUP(D54&amp;"*",个税上月累计情况!E:AL,32,0),0),0)</f>
        <v>0</v>
      </c>
      <c r="BE54" s="90">
        <f>IFERROR(IF(F54="正常工资薪金",VLOOKUP(D54&amp;"*",个税上月累计情况!E:AL,33,0),0),0)</f>
        <v>0</v>
      </c>
      <c r="BF54" s="90">
        <f>IFERROR(IF(F54="正常工资薪金",VLOOKUP(D54&amp;"*",个税上月累计情况!E:AL,34,0),0),0)</f>
        <v>0</v>
      </c>
      <c r="BG54" s="90">
        <f>IFERROR(IF(F54="正常工资薪金",VLOOKUP(D54&amp;"*",个税上月累计情况!E:AN,35,0),0),0)</f>
        <v>0</v>
      </c>
      <c r="BH54" s="90">
        <f>IFERROR(IF(F54="正常工资薪金",VLOOKUP(D54&amp;"*",个税上月累计情况!E:AN,36,0),0),0)</f>
        <v>0</v>
      </c>
      <c r="BI54" s="90">
        <f>IFERROR(IF(F54="正常工资薪金",VLOOKUP(D54&amp;"*",个税上月累计情况!D:AW,46,0),0),0)</f>
        <v>56.21</v>
      </c>
      <c r="BJ54" s="90">
        <f>IFERROR(IF(F54="正常工资薪金",VLOOKUP(D54&amp;"*",个税上月累计情况!D:AX,47,0),0),0)</f>
        <v>78.4</v>
      </c>
      <c r="BK54" t="e">
        <f>VLOOKUP(B54,花名册!C:N,12,0)</f>
        <v>#N/A</v>
      </c>
    </row>
    <row r="55" ht="19.5" hidden="1" spans="1:63">
      <c r="A55" s="87"/>
      <c r="B55" s="87" t="s">
        <v>373</v>
      </c>
      <c r="C55" s="87" t="s">
        <v>268</v>
      </c>
      <c r="D55" s="87" t="s">
        <v>374</v>
      </c>
      <c r="E55" s="87" t="s">
        <v>270</v>
      </c>
      <c r="F55" s="87" t="s">
        <v>271</v>
      </c>
      <c r="G55" s="89" t="e" cm="1">
        <f t="array" ref="G55">_xlfn.IFS(F55="正常工资薪金",VLOOKUP(D55&amp;"*",工资表明细!D:BL,61,0),F55="一般劳务报酬所得",VLOOKUP(D55&amp;"*",工资表明细!D:BJ,59,0),F55="全年一次性奖金收入",VLOOKUP(D55&amp;"*",工资表明细!D:BI,58,0),F55="解除劳动合同一次性补偿金",VLOOKUP(D55&amp;"*",工资表明细!D:BH,57,0))</f>
        <v>#N/A</v>
      </c>
      <c r="H55" s="89">
        <f t="shared" si="0"/>
        <v>0</v>
      </c>
      <c r="I55" s="89">
        <v>0</v>
      </c>
      <c r="J55" s="89">
        <f t="shared" si="1"/>
        <v>5000</v>
      </c>
      <c r="K55" s="89" t="e">
        <f>IF(F55="正常工资薪金",VLOOKUP(D55&amp;"*",工资表明细!D:AP,39,0),0)</f>
        <v>#N/A</v>
      </c>
      <c r="L55" s="89" t="e">
        <f>IF(F55="正常工资薪金",VLOOKUP(D55&amp;"*",工资表明细!D:AQ,40,0),0)</f>
        <v>#N/A</v>
      </c>
      <c r="M55" s="89" t="e">
        <f>IF(F55="正常工资薪金",VLOOKUP(D55&amp;"*",工资表明细!D:AR,41,0),0)</f>
        <v>#N/A</v>
      </c>
      <c r="N55" s="89" t="e">
        <f>IF(F55="正常工资薪金",VLOOKUP(D55&amp;"*",工资表明细!D:AT,43,0),0)</f>
        <v>#N/A</v>
      </c>
      <c r="O55" s="89">
        <v>50</v>
      </c>
      <c r="P55" s="89">
        <v>50</v>
      </c>
      <c r="Q55" s="89">
        <v>50</v>
      </c>
      <c r="R55" s="89">
        <v>50</v>
      </c>
      <c r="S55" s="89">
        <v>50</v>
      </c>
      <c r="T55" s="89">
        <v>50</v>
      </c>
      <c r="U55" s="89">
        <v>50</v>
      </c>
      <c r="V55" s="89">
        <v>50</v>
      </c>
      <c r="W55" s="87" t="s">
        <v>272</v>
      </c>
      <c r="X55" s="89">
        <v>50</v>
      </c>
      <c r="Y55" s="87" t="s">
        <v>272</v>
      </c>
      <c r="Z55" s="87" t="s">
        <v>272</v>
      </c>
      <c r="AA55" s="87" t="s">
        <v>272</v>
      </c>
      <c r="AB55" s="89">
        <v>50</v>
      </c>
      <c r="AC55" s="89" t="e">
        <f t="shared" si="2"/>
        <v>#N/A</v>
      </c>
      <c r="AD55" s="89">
        <f t="shared" si="3"/>
        <v>25000</v>
      </c>
      <c r="AE55" s="89" t="e">
        <f t="shared" si="4"/>
        <v>#N/A</v>
      </c>
      <c r="AF55" s="89">
        <f t="shared" si="5"/>
        <v>0</v>
      </c>
      <c r="AG55" s="89">
        <f t="shared" si="6"/>
        <v>0</v>
      </c>
      <c r="AH55" s="89">
        <f t="shared" si="7"/>
        <v>0</v>
      </c>
      <c r="AI55" s="89">
        <f t="shared" si="8"/>
        <v>0</v>
      </c>
      <c r="AJ55" s="89">
        <f t="shared" si="9"/>
        <v>0</v>
      </c>
      <c r="AK55" s="89">
        <f t="shared" si="10"/>
        <v>0</v>
      </c>
      <c r="AL55" s="89">
        <v>0</v>
      </c>
      <c r="AM55" s="89">
        <v>0</v>
      </c>
      <c r="AN55" s="87" t="s">
        <v>273</v>
      </c>
      <c r="AO55" s="89">
        <v>0</v>
      </c>
      <c r="AP55" s="89" t="e">
        <f t="shared" si="11"/>
        <v>#N/A</v>
      </c>
      <c r="AQ55" s="89" t="e" cm="1">
        <f t="array" ref="AQ55">_xlfn.IFS(F55="正常工资薪金",VLOOKUP(AP55,{0,0.03;36000,0.1;144000,0.2;300000,0.25;420000,0.3;660000,0.35;960000,0.45},2,1),F55="一般劳务报酬所得",IF(AP55&lt;=20000,0.2,IF(AP55&lt;=50000,0.3,0.4)),F55="全年一次性奖金收入",VLOOKUP(AP55/12,{0,0.03;3000,0.1;12000,0.2;25000,0.25;35000,0.3;55000,0.35;80000,0.45},2,1),F55="解除劳动合同一次性补偿金",VLOOKUP(AP55,{0,0.03;36000,0.1;144000,0.2;300000,0.25;420000,0.3;660000,0.35;960000,0.45},2,1))</f>
        <v>#N/A</v>
      </c>
      <c r="AR55" s="89" t="e" cm="1">
        <f t="array" ref="AR55">_xlfn.IFS(F55="正常工资薪金",VLOOKUP(AP55,{0,0;36000,2520;144000,16920;300000,31920;420000,52920;660000,85920;960000,181920},2,1),F55="一般劳务报酬所得",IF(AP55&lt;=20000,0,IF(AS&lt;=50000,2000,7000)),F55="全年一次性奖金收入",VLOOKUP(AP55/12,{0,0;3000,210;12000,1410;25000,2660;35000,4410;55000,7160;80000,15160},2,1),F55="解除劳动合同一次性补偿金",VLOOKUP(AP55,{0,0;36000,2520;144000,16920;300000,31920;420000,52920;660000,85920;960000,181920},2,1))</f>
        <v>#N/A</v>
      </c>
      <c r="AS55" s="89" t="e">
        <f t="shared" si="12"/>
        <v>#N/A</v>
      </c>
      <c r="AT55" s="89">
        <v>0</v>
      </c>
      <c r="AU55" s="89">
        <f t="shared" si="13"/>
        <v>161.14</v>
      </c>
      <c r="AV55" s="89" t="e">
        <f t="shared" si="14"/>
        <v>#N/A</v>
      </c>
      <c r="AW55" s="87"/>
      <c r="AX55" s="90">
        <f>IFERROR(IF(F55="正常工资薪金",VLOOKUP(D55&amp;"*",个税上月累计情况!E:AL,26,0),0),0)</f>
        <v>29991.34</v>
      </c>
      <c r="AY55" s="90">
        <f>IFERROR(IF(F55="正常工资薪金",VLOOKUP(D55&amp;"*",个税上月累计情况!E:AL,27,0),0),0)</f>
        <v>20000</v>
      </c>
      <c r="AZ55" s="90">
        <f>IFERROR(IF(F55="正常工资薪金",VLOOKUP(D55&amp;"*",个税上月累计情况!E:AL,28,0),0),0)</f>
        <v>4620.04</v>
      </c>
      <c r="BA55" s="90">
        <f>IFERROR(IF(F55="正常工资薪金",VLOOKUP(D55&amp;"*",个税上月累计情况!E:AL,29,0),0),0)</f>
        <v>0</v>
      </c>
      <c r="BB55" s="90">
        <f>IFERROR(IF(F55="正常工资薪金",VLOOKUP(D55&amp;"*",个税上月累计情况!E:AL,30,0),0),0)</f>
        <v>0</v>
      </c>
      <c r="BC55" s="90">
        <f>IFERROR(IF(F55="正常工资薪金",VLOOKUP(D55&amp;"*",个税上月累计情况!E:AL,31,0),0),0)</f>
        <v>0</v>
      </c>
      <c r="BD55" s="90">
        <f>IFERROR(IF(F55="正常工资薪金",VLOOKUP(D55&amp;"*",个税上月累计情况!E:AL,32,0),0),0)</f>
        <v>0</v>
      </c>
      <c r="BE55" s="90">
        <f>IFERROR(IF(F55="正常工资薪金",VLOOKUP(D55&amp;"*",个税上月累计情况!E:AL,33,0),0),0)</f>
        <v>0</v>
      </c>
      <c r="BF55" s="90">
        <f>IFERROR(IF(F55="正常工资薪金",VLOOKUP(D55&amp;"*",个税上月累计情况!E:AL,34,0),0),0)</f>
        <v>0</v>
      </c>
      <c r="BG55" s="90">
        <f>IFERROR(IF(F55="正常工资薪金",VLOOKUP(D55&amp;"*",个税上月累计情况!E:AN,35,0),0),0)</f>
        <v>0</v>
      </c>
      <c r="BH55" s="90">
        <f>IFERROR(IF(F55="正常工资薪金",VLOOKUP(D55&amp;"*",个税上月累计情况!E:AN,36,0),0),0)</f>
        <v>0</v>
      </c>
      <c r="BI55" s="90">
        <f>IFERROR(IF(F55="正常工资薪金",VLOOKUP(D55&amp;"*",个税上月累计情况!D:AW,46,0),0),0)</f>
        <v>111.5</v>
      </c>
      <c r="BJ55" s="90">
        <f>IFERROR(IF(F55="正常工资薪金",VLOOKUP(D55&amp;"*",个税上月累计情况!D:AX,47,0),0),0)</f>
        <v>49.64</v>
      </c>
      <c r="BK55" t="e">
        <f>VLOOKUP(B55,花名册!C:N,12,0)</f>
        <v>#N/A</v>
      </c>
    </row>
    <row r="56" ht="19.5" hidden="1" spans="1:63">
      <c r="A56" s="87"/>
      <c r="B56" s="87" t="s">
        <v>375</v>
      </c>
      <c r="C56" s="87" t="s">
        <v>268</v>
      </c>
      <c r="D56" s="87" t="s">
        <v>376</v>
      </c>
      <c r="E56" s="87" t="s">
        <v>270</v>
      </c>
      <c r="F56" s="87" t="s">
        <v>271</v>
      </c>
      <c r="G56" s="89" t="e" cm="1">
        <f t="array" ref="G56">_xlfn.IFS(F56="正常工资薪金",VLOOKUP(D56&amp;"*",工资表明细!D:BL,61,0),F56="一般劳务报酬所得",VLOOKUP(D56&amp;"*",工资表明细!D:BJ,59,0),F56="全年一次性奖金收入",VLOOKUP(D56&amp;"*",工资表明细!D:BI,58,0),F56="解除劳动合同一次性补偿金",VLOOKUP(D56&amp;"*",工资表明细!D:BH,57,0))</f>
        <v>#N/A</v>
      </c>
      <c r="H56" s="89">
        <f t="shared" si="0"/>
        <v>0</v>
      </c>
      <c r="I56" s="89">
        <v>0</v>
      </c>
      <c r="J56" s="89">
        <f t="shared" si="1"/>
        <v>5000</v>
      </c>
      <c r="K56" s="89" t="e">
        <f>IF(F56="正常工资薪金",VLOOKUP(D56&amp;"*",工资表明细!D:AP,39,0),0)</f>
        <v>#N/A</v>
      </c>
      <c r="L56" s="89" t="e">
        <f>IF(F56="正常工资薪金",VLOOKUP(D56&amp;"*",工资表明细!D:AQ,40,0),0)</f>
        <v>#N/A</v>
      </c>
      <c r="M56" s="89" t="e">
        <f>IF(F56="正常工资薪金",VLOOKUP(D56&amp;"*",工资表明细!D:AR,41,0),0)</f>
        <v>#N/A</v>
      </c>
      <c r="N56" s="89" t="e">
        <f>IF(F56="正常工资薪金",VLOOKUP(D56&amp;"*",工资表明细!D:AT,43,0),0)</f>
        <v>#N/A</v>
      </c>
      <c r="O56" s="89">
        <v>51</v>
      </c>
      <c r="P56" s="89">
        <v>51</v>
      </c>
      <c r="Q56" s="89">
        <v>51</v>
      </c>
      <c r="R56" s="89">
        <v>51</v>
      </c>
      <c r="S56" s="89">
        <v>51</v>
      </c>
      <c r="T56" s="89">
        <v>51</v>
      </c>
      <c r="U56" s="89">
        <v>51</v>
      </c>
      <c r="V56" s="89">
        <v>51</v>
      </c>
      <c r="W56" s="87" t="s">
        <v>272</v>
      </c>
      <c r="X56" s="89">
        <v>51</v>
      </c>
      <c r="Y56" s="87" t="s">
        <v>272</v>
      </c>
      <c r="Z56" s="87" t="s">
        <v>272</v>
      </c>
      <c r="AA56" s="87" t="s">
        <v>272</v>
      </c>
      <c r="AB56" s="89">
        <v>51</v>
      </c>
      <c r="AC56" s="89" t="e">
        <f t="shared" si="2"/>
        <v>#N/A</v>
      </c>
      <c r="AD56" s="89">
        <f t="shared" si="3"/>
        <v>25000</v>
      </c>
      <c r="AE56" s="89" t="e">
        <f t="shared" si="4"/>
        <v>#N/A</v>
      </c>
      <c r="AF56" s="89">
        <f t="shared" si="5"/>
        <v>0</v>
      </c>
      <c r="AG56" s="89">
        <f t="shared" si="6"/>
        <v>0</v>
      </c>
      <c r="AH56" s="89">
        <f t="shared" si="7"/>
        <v>0</v>
      </c>
      <c r="AI56" s="89">
        <f t="shared" si="8"/>
        <v>0</v>
      </c>
      <c r="AJ56" s="89">
        <f t="shared" si="9"/>
        <v>0</v>
      </c>
      <c r="AK56" s="89">
        <f t="shared" si="10"/>
        <v>0</v>
      </c>
      <c r="AL56" s="89">
        <v>0</v>
      </c>
      <c r="AM56" s="89">
        <v>0</v>
      </c>
      <c r="AN56" s="87" t="s">
        <v>273</v>
      </c>
      <c r="AO56" s="89">
        <v>0</v>
      </c>
      <c r="AP56" s="89" t="e">
        <f t="shared" si="11"/>
        <v>#N/A</v>
      </c>
      <c r="AQ56" s="89" t="e" cm="1">
        <f t="array" ref="AQ56">_xlfn.IFS(F56="正常工资薪金",VLOOKUP(AP56,{0,0.03;36000,0.1;144000,0.2;300000,0.25;420000,0.3;660000,0.35;960000,0.45},2,1),F56="一般劳务报酬所得",IF(AP56&lt;=20000,0.2,IF(AP56&lt;=50000,0.3,0.4)),F56="全年一次性奖金收入",VLOOKUP(AP56/12,{0,0.03;3000,0.1;12000,0.2;25000,0.25;35000,0.3;55000,0.35;80000,0.45},2,1),F56="解除劳动合同一次性补偿金",VLOOKUP(AP56,{0,0.03;36000,0.1;144000,0.2;300000,0.25;420000,0.3;660000,0.35;960000,0.45},2,1))</f>
        <v>#N/A</v>
      </c>
      <c r="AR56" s="89" t="e" cm="1">
        <f t="array" ref="AR56">_xlfn.IFS(F56="正常工资薪金",VLOOKUP(AP56,{0,0;36000,2520;144000,16920;300000,31920;420000,52920;660000,85920;960000,181920},2,1),F56="一般劳务报酬所得",IF(AP56&lt;=20000,0,IF(AS&lt;=50000,2000,7000)),F56="全年一次性奖金收入",VLOOKUP(AP56/12,{0,0;3000,210;12000,1410;25000,2660;35000,4410;55000,7160;80000,15160},2,1),F56="解除劳动合同一次性补偿金",VLOOKUP(AP56,{0,0;36000,2520;144000,16920;300000,31920;420000,52920;660000,85920;960000,181920},2,1))</f>
        <v>#N/A</v>
      </c>
      <c r="AS56" s="89" t="e">
        <f t="shared" si="12"/>
        <v>#N/A</v>
      </c>
      <c r="AT56" s="89">
        <v>0</v>
      </c>
      <c r="AU56" s="89">
        <f t="shared" si="13"/>
        <v>748.53</v>
      </c>
      <c r="AV56" s="89" t="e">
        <f t="shared" si="14"/>
        <v>#N/A</v>
      </c>
      <c r="AW56" s="87"/>
      <c r="AX56" s="90">
        <f>IFERROR(IF(F56="正常工资薪金",VLOOKUP(D56&amp;"*",个税上月累计情况!E:AL,26,0),0),0)</f>
        <v>50690.91</v>
      </c>
      <c r="AY56" s="90">
        <f>IFERROR(IF(F56="正常工资薪金",VLOOKUP(D56&amp;"*",个税上月累计情况!E:AL,27,0),0),0)</f>
        <v>20000</v>
      </c>
      <c r="AZ56" s="90">
        <f>IFERROR(IF(F56="正常工资薪金",VLOOKUP(D56&amp;"*",个税上月累计情况!E:AL,28,0),0),0)</f>
        <v>5740.04</v>
      </c>
      <c r="BA56" s="90">
        <f>IFERROR(IF(F56="正常工资薪金",VLOOKUP(D56&amp;"*",个税上月累计情况!E:AL,29,0),0),0)</f>
        <v>0</v>
      </c>
      <c r="BB56" s="90">
        <f>IFERROR(IF(F56="正常工资薪金",VLOOKUP(D56&amp;"*",个税上月累计情况!E:AL,30,0),0),0)</f>
        <v>0</v>
      </c>
      <c r="BC56" s="90">
        <f>IFERROR(IF(F56="正常工资薪金",VLOOKUP(D56&amp;"*",个税上月累计情况!E:AL,31,0),0),0)</f>
        <v>0</v>
      </c>
      <c r="BD56" s="90">
        <f>IFERROR(IF(F56="正常工资薪金",VLOOKUP(D56&amp;"*",个税上月累计情况!E:AL,32,0),0),0)</f>
        <v>0</v>
      </c>
      <c r="BE56" s="90">
        <f>IFERROR(IF(F56="正常工资薪金",VLOOKUP(D56&amp;"*",个税上月累计情况!E:AL,33,0),0),0)</f>
        <v>0</v>
      </c>
      <c r="BF56" s="90">
        <f>IFERROR(IF(F56="正常工资薪金",VLOOKUP(D56&amp;"*",个税上月累计情况!E:AL,34,0),0),0)</f>
        <v>0</v>
      </c>
      <c r="BG56" s="90">
        <f>IFERROR(IF(F56="正常工资薪金",VLOOKUP(D56&amp;"*",个税上月累计情况!E:AN,35,0),0),0)</f>
        <v>0</v>
      </c>
      <c r="BH56" s="90">
        <f>IFERROR(IF(F56="正常工资薪金",VLOOKUP(D56&amp;"*",个税上月累计情况!E:AN,36,0),0),0)</f>
        <v>0</v>
      </c>
      <c r="BI56" s="90">
        <f>IFERROR(IF(F56="正常工资薪金",VLOOKUP(D56&amp;"*",个税上月累计情况!D:AW,46,0),0),0)</f>
        <v>533.58</v>
      </c>
      <c r="BJ56" s="90">
        <f>IFERROR(IF(F56="正常工资薪金",VLOOKUP(D56&amp;"*",个税上月累计情况!D:AX,47,0),0),0)</f>
        <v>214.95</v>
      </c>
      <c r="BK56" t="e">
        <f>VLOOKUP(B56,花名册!C:N,12,0)</f>
        <v>#N/A</v>
      </c>
    </row>
    <row r="57" ht="19.5" hidden="1" spans="1:63">
      <c r="A57" s="87"/>
      <c r="B57" s="87" t="s">
        <v>377</v>
      </c>
      <c r="C57" s="87" t="s">
        <v>268</v>
      </c>
      <c r="D57" s="87" t="s">
        <v>378</v>
      </c>
      <c r="E57" s="87" t="s">
        <v>270</v>
      </c>
      <c r="F57" s="87" t="s">
        <v>271</v>
      </c>
      <c r="G57" s="89" t="e" cm="1">
        <f t="array" ref="G57">_xlfn.IFS(F57="正常工资薪金",VLOOKUP(D57&amp;"*",工资表明细!D:BL,61,0),F57="一般劳务报酬所得",VLOOKUP(D57&amp;"*",工资表明细!D:BJ,59,0),F57="全年一次性奖金收入",VLOOKUP(D57&amp;"*",工资表明细!D:BI,58,0),F57="解除劳动合同一次性补偿金",VLOOKUP(D57&amp;"*",工资表明细!D:BH,57,0))</f>
        <v>#N/A</v>
      </c>
      <c r="H57" s="89">
        <f t="shared" si="0"/>
        <v>0</v>
      </c>
      <c r="I57" s="89">
        <v>0</v>
      </c>
      <c r="J57" s="89">
        <f t="shared" si="1"/>
        <v>5000</v>
      </c>
      <c r="K57" s="89" t="e">
        <f>IF(F57="正常工资薪金",VLOOKUP(D57&amp;"*",工资表明细!D:AP,39,0),0)</f>
        <v>#N/A</v>
      </c>
      <c r="L57" s="89" t="e">
        <f>IF(F57="正常工资薪金",VLOOKUP(D57&amp;"*",工资表明细!D:AQ,40,0),0)</f>
        <v>#N/A</v>
      </c>
      <c r="M57" s="89" t="e">
        <f>IF(F57="正常工资薪金",VLOOKUP(D57&amp;"*",工资表明细!D:AR,41,0),0)</f>
        <v>#N/A</v>
      </c>
      <c r="N57" s="89" t="e">
        <f>IF(F57="正常工资薪金",VLOOKUP(D57&amp;"*",工资表明细!D:AT,43,0),0)</f>
        <v>#N/A</v>
      </c>
      <c r="O57" s="89">
        <v>52</v>
      </c>
      <c r="P57" s="89">
        <v>52</v>
      </c>
      <c r="Q57" s="89">
        <v>52</v>
      </c>
      <c r="R57" s="89">
        <v>52</v>
      </c>
      <c r="S57" s="89">
        <v>52</v>
      </c>
      <c r="T57" s="89">
        <v>52</v>
      </c>
      <c r="U57" s="89">
        <v>52</v>
      </c>
      <c r="V57" s="89">
        <v>52</v>
      </c>
      <c r="W57" s="87" t="s">
        <v>272</v>
      </c>
      <c r="X57" s="89">
        <v>52</v>
      </c>
      <c r="Y57" s="87" t="s">
        <v>272</v>
      </c>
      <c r="Z57" s="87" t="s">
        <v>272</v>
      </c>
      <c r="AA57" s="87" t="s">
        <v>272</v>
      </c>
      <c r="AB57" s="89">
        <v>52</v>
      </c>
      <c r="AC57" s="89" t="e">
        <f t="shared" si="2"/>
        <v>#N/A</v>
      </c>
      <c r="AD57" s="89">
        <f t="shared" si="3"/>
        <v>25000</v>
      </c>
      <c r="AE57" s="89" t="e">
        <f t="shared" si="4"/>
        <v>#N/A</v>
      </c>
      <c r="AF57" s="89">
        <f t="shared" si="5"/>
        <v>0</v>
      </c>
      <c r="AG57" s="89">
        <f t="shared" si="6"/>
        <v>0</v>
      </c>
      <c r="AH57" s="89">
        <f t="shared" si="7"/>
        <v>0</v>
      </c>
      <c r="AI57" s="89">
        <f t="shared" si="8"/>
        <v>0</v>
      </c>
      <c r="AJ57" s="89">
        <f t="shared" si="9"/>
        <v>0</v>
      </c>
      <c r="AK57" s="89">
        <f t="shared" si="10"/>
        <v>0</v>
      </c>
      <c r="AL57" s="89">
        <v>0</v>
      </c>
      <c r="AM57" s="89">
        <v>0</v>
      </c>
      <c r="AN57" s="87" t="s">
        <v>273</v>
      </c>
      <c r="AO57" s="89">
        <v>0</v>
      </c>
      <c r="AP57" s="89" t="e">
        <f t="shared" si="11"/>
        <v>#N/A</v>
      </c>
      <c r="AQ57" s="89" t="e" cm="1">
        <f t="array" ref="AQ57">_xlfn.IFS(F57="正常工资薪金",VLOOKUP(AP57,{0,0.03;36000,0.1;144000,0.2;300000,0.25;420000,0.3;660000,0.35;960000,0.45},2,1),F57="一般劳务报酬所得",IF(AP57&lt;=20000,0.2,IF(AP57&lt;=50000,0.3,0.4)),F57="全年一次性奖金收入",VLOOKUP(AP57/12,{0,0.03;3000,0.1;12000,0.2;25000,0.25;35000,0.3;55000,0.35;80000,0.45},2,1),F57="解除劳动合同一次性补偿金",VLOOKUP(AP57,{0,0.03;36000,0.1;144000,0.2;300000,0.25;420000,0.3;660000,0.35;960000,0.45},2,1))</f>
        <v>#N/A</v>
      </c>
      <c r="AR57" s="89" t="e" cm="1">
        <f t="array" ref="AR57">_xlfn.IFS(F57="正常工资薪金",VLOOKUP(AP57,{0,0;36000,2520;144000,16920;300000,31920;420000,52920;660000,85920;960000,181920},2,1),F57="一般劳务报酬所得",IF(AP57&lt;=20000,0,IF(AS&lt;=50000,2000,7000)),F57="全年一次性奖金收入",VLOOKUP(AP57/12,{0,0;3000,210;12000,1410;25000,2660;35000,4410;55000,7160;80000,15160},2,1),F57="解除劳动合同一次性补偿金",VLOOKUP(AP57,{0,0;36000,2520;144000,16920;300000,31920;420000,52920;660000,85920;960000,181920},2,1))</f>
        <v>#N/A</v>
      </c>
      <c r="AS57" s="89" t="e">
        <f t="shared" si="12"/>
        <v>#N/A</v>
      </c>
      <c r="AT57" s="89">
        <v>0</v>
      </c>
      <c r="AU57" s="89">
        <f t="shared" si="13"/>
        <v>279.57</v>
      </c>
      <c r="AV57" s="89" t="e">
        <f t="shared" si="14"/>
        <v>#N/A</v>
      </c>
      <c r="AW57" s="87"/>
      <c r="AX57" s="90">
        <f>IFERROR(IF(F57="正常工资薪金",VLOOKUP(D57&amp;"*",个税上月累计情况!E:AL,26,0),0),0)</f>
        <v>47709.09</v>
      </c>
      <c r="AY57" s="90">
        <f>IFERROR(IF(F57="正常工资薪金",VLOOKUP(D57&amp;"*",个税上月累计情况!E:AL,27,0),0),0)</f>
        <v>20000</v>
      </c>
      <c r="AZ57" s="90">
        <f>IFERROR(IF(F57="正常工资薪金",VLOOKUP(D57&amp;"*",个税上月累计情况!E:AL,28,0),0),0)</f>
        <v>5580.04</v>
      </c>
      <c r="BA57" s="90">
        <f>IFERROR(IF(F57="正常工资薪金",VLOOKUP(D57&amp;"*",个税上月累计情况!E:AL,29,0),0),0)</f>
        <v>10000</v>
      </c>
      <c r="BB57" s="90">
        <f>IFERROR(IF(F57="正常工资薪金",VLOOKUP(D57&amp;"*",个税上月累计情况!E:AL,30,0),0),0)</f>
        <v>15000</v>
      </c>
      <c r="BC57" s="90">
        <f>IFERROR(IF(F57="正常工资薪金",VLOOKUP(D57&amp;"*",个税上月累计情况!E:AL,31,0),0),0)</f>
        <v>5000</v>
      </c>
      <c r="BD57" s="90">
        <f>IFERROR(IF(F57="正常工资薪金",VLOOKUP(D57&amp;"*",个税上月累计情况!E:AL,32,0),0),0)</f>
        <v>0</v>
      </c>
      <c r="BE57" s="90">
        <f>IFERROR(IF(F57="正常工资薪金",VLOOKUP(D57&amp;"*",个税上月累计情况!E:AL,33,0),0),0)</f>
        <v>0</v>
      </c>
      <c r="BF57" s="90">
        <f>IFERROR(IF(F57="正常工资薪金",VLOOKUP(D57&amp;"*",个税上月累计情况!E:AL,34,0),0),0)</f>
        <v>10000</v>
      </c>
      <c r="BG57" s="90">
        <f>IFERROR(IF(F57="正常工资薪金",VLOOKUP(D57&amp;"*",个税上月累计情况!E:AN,35,0),0),0)</f>
        <v>0</v>
      </c>
      <c r="BH57" s="90">
        <f>IFERROR(IF(F57="正常工资薪金",VLOOKUP(D57&amp;"*",个税上月累计情况!E:AN,36,0),0),0)</f>
        <v>0</v>
      </c>
      <c r="BI57" s="90">
        <f>IFERROR(IF(F57="正常工资薪金",VLOOKUP(D57&amp;"*",个税上月累计情况!D:AW,46,0),0),0)</f>
        <v>279.57</v>
      </c>
      <c r="BJ57" s="90">
        <f>IFERROR(IF(F57="正常工资薪金",VLOOKUP(D57&amp;"*",个税上月累计情况!D:AX,47,0),0),0)</f>
        <v>0</v>
      </c>
      <c r="BK57" t="e">
        <f>VLOOKUP(B57,花名册!C:N,12,0)</f>
        <v>#N/A</v>
      </c>
    </row>
    <row r="58" ht="19.5" hidden="1" spans="1:63">
      <c r="A58" s="87"/>
      <c r="B58" s="87" t="s">
        <v>379</v>
      </c>
      <c r="C58" s="87" t="s">
        <v>268</v>
      </c>
      <c r="D58" s="87" t="s">
        <v>380</v>
      </c>
      <c r="E58" s="87" t="s">
        <v>270</v>
      </c>
      <c r="F58" s="87" t="s">
        <v>271</v>
      </c>
      <c r="G58" s="89" t="e" cm="1">
        <f t="array" ref="G58">_xlfn.IFS(F58="正常工资薪金",VLOOKUP(D58&amp;"*",工资表明细!D:BL,61,0),F58="一般劳务报酬所得",VLOOKUP(D58&amp;"*",工资表明细!D:BJ,59,0),F58="全年一次性奖金收入",VLOOKUP(D58&amp;"*",工资表明细!D:BI,58,0),F58="解除劳动合同一次性补偿金",VLOOKUP(D58&amp;"*",工资表明细!D:BH,57,0))</f>
        <v>#N/A</v>
      </c>
      <c r="H58" s="89">
        <f t="shared" si="0"/>
        <v>0</v>
      </c>
      <c r="I58" s="89">
        <v>0</v>
      </c>
      <c r="J58" s="89">
        <f t="shared" si="1"/>
        <v>5000</v>
      </c>
      <c r="K58" s="89" t="e">
        <f>IF(F58="正常工资薪金",VLOOKUP(D58&amp;"*",工资表明细!D:AP,39,0),0)</f>
        <v>#N/A</v>
      </c>
      <c r="L58" s="89" t="e">
        <f>IF(F58="正常工资薪金",VLOOKUP(D58&amp;"*",工资表明细!D:AQ,40,0),0)</f>
        <v>#N/A</v>
      </c>
      <c r="M58" s="89" t="e">
        <f>IF(F58="正常工资薪金",VLOOKUP(D58&amp;"*",工资表明细!D:AR,41,0),0)</f>
        <v>#N/A</v>
      </c>
      <c r="N58" s="89" t="e">
        <f>IF(F58="正常工资薪金",VLOOKUP(D58&amp;"*",工资表明细!D:AT,43,0),0)</f>
        <v>#N/A</v>
      </c>
      <c r="O58" s="89">
        <v>53</v>
      </c>
      <c r="P58" s="89">
        <v>53</v>
      </c>
      <c r="Q58" s="89">
        <v>53</v>
      </c>
      <c r="R58" s="89">
        <v>53</v>
      </c>
      <c r="S58" s="89">
        <v>53</v>
      </c>
      <c r="T58" s="89">
        <v>53</v>
      </c>
      <c r="U58" s="89">
        <v>53</v>
      </c>
      <c r="V58" s="89">
        <v>53</v>
      </c>
      <c r="W58" s="87" t="s">
        <v>272</v>
      </c>
      <c r="X58" s="89">
        <v>53</v>
      </c>
      <c r="Y58" s="87" t="s">
        <v>272</v>
      </c>
      <c r="Z58" s="87" t="s">
        <v>272</v>
      </c>
      <c r="AA58" s="87" t="s">
        <v>272</v>
      </c>
      <c r="AB58" s="89">
        <v>53</v>
      </c>
      <c r="AC58" s="89" t="e">
        <f t="shared" si="2"/>
        <v>#N/A</v>
      </c>
      <c r="AD58" s="89">
        <f t="shared" si="3"/>
        <v>25000</v>
      </c>
      <c r="AE58" s="89" t="e">
        <f t="shared" si="4"/>
        <v>#N/A</v>
      </c>
      <c r="AF58" s="89">
        <f t="shared" si="5"/>
        <v>0</v>
      </c>
      <c r="AG58" s="89">
        <f t="shared" si="6"/>
        <v>0</v>
      </c>
      <c r="AH58" s="89">
        <f t="shared" si="7"/>
        <v>0</v>
      </c>
      <c r="AI58" s="89">
        <f t="shared" si="8"/>
        <v>0</v>
      </c>
      <c r="AJ58" s="89">
        <f t="shared" si="9"/>
        <v>0</v>
      </c>
      <c r="AK58" s="89">
        <f t="shared" si="10"/>
        <v>0</v>
      </c>
      <c r="AL58" s="89">
        <v>0</v>
      </c>
      <c r="AM58" s="89">
        <v>0</v>
      </c>
      <c r="AN58" s="87" t="s">
        <v>273</v>
      </c>
      <c r="AO58" s="89">
        <v>0</v>
      </c>
      <c r="AP58" s="89" t="e">
        <f t="shared" si="11"/>
        <v>#N/A</v>
      </c>
      <c r="AQ58" s="89" t="e" cm="1">
        <f t="array" ref="AQ58">_xlfn.IFS(F58="正常工资薪金",VLOOKUP(AP58,{0,0.03;36000,0.1;144000,0.2;300000,0.25;420000,0.3;660000,0.35;960000,0.45},2,1),F58="一般劳务报酬所得",IF(AP58&lt;=20000,0.2,IF(AP58&lt;=50000,0.3,0.4)),F58="全年一次性奖金收入",VLOOKUP(AP58/12,{0,0.03;3000,0.1;12000,0.2;25000,0.25;35000,0.3;55000,0.35;80000,0.45},2,1),F58="解除劳动合同一次性补偿金",VLOOKUP(AP58,{0,0.03;36000,0.1;144000,0.2;300000,0.25;420000,0.3;660000,0.35;960000,0.45},2,1))</f>
        <v>#N/A</v>
      </c>
      <c r="AR58" s="89" t="e" cm="1">
        <f t="array" ref="AR58">_xlfn.IFS(F58="正常工资薪金",VLOOKUP(AP58,{0,0;36000,2520;144000,16920;300000,31920;420000,52920;660000,85920;960000,181920},2,1),F58="一般劳务报酬所得",IF(AP58&lt;=20000,0,IF(AS&lt;=50000,2000,7000)),F58="全年一次性奖金收入",VLOOKUP(AP58/12,{0,0;3000,210;12000,1410;25000,2660;35000,4410;55000,7160;80000,15160},2,1),F58="解除劳动合同一次性补偿金",VLOOKUP(AP58,{0,0;36000,2520;144000,16920;300000,31920;420000,52920;660000,85920;960000,181920},2,1))</f>
        <v>#N/A</v>
      </c>
      <c r="AS58" s="89" t="e">
        <f t="shared" si="12"/>
        <v>#N/A</v>
      </c>
      <c r="AT58" s="89">
        <v>0</v>
      </c>
      <c r="AU58" s="89">
        <f t="shared" si="13"/>
        <v>2.04</v>
      </c>
      <c r="AV58" s="89" t="e">
        <f t="shared" si="14"/>
        <v>#N/A</v>
      </c>
      <c r="AW58" s="87"/>
      <c r="AX58" s="90">
        <f>IFERROR(IF(F58="正常工资薪金",VLOOKUP(D58&amp;"*",个税上月累计情况!E:AL,26,0),0),0)</f>
        <v>32187.98</v>
      </c>
      <c r="AY58" s="90">
        <f>IFERROR(IF(F58="正常工资薪金",VLOOKUP(D58&amp;"*",个税上月累计情况!E:AL,27,0),0),0)</f>
        <v>20000</v>
      </c>
      <c r="AZ58" s="90">
        <f>IFERROR(IF(F58="正常工资薪金",VLOOKUP(D58&amp;"*",个税上月累计情况!E:AL,28,0),0),0)</f>
        <v>4620.04</v>
      </c>
      <c r="BA58" s="90">
        <f>IFERROR(IF(F58="正常工资薪金",VLOOKUP(D58&amp;"*",个税上月累计情况!E:AL,29,0),0),0)</f>
        <v>0</v>
      </c>
      <c r="BB58" s="90">
        <f>IFERROR(IF(F58="正常工资薪金",VLOOKUP(D58&amp;"*",个税上月累计情况!E:AL,30,0),0),0)</f>
        <v>0</v>
      </c>
      <c r="BC58" s="90">
        <f>IFERROR(IF(F58="正常工资薪金",VLOOKUP(D58&amp;"*",个税上月累计情况!E:AL,31,0),0),0)</f>
        <v>0</v>
      </c>
      <c r="BD58" s="90">
        <f>IFERROR(IF(F58="正常工资薪金",VLOOKUP(D58&amp;"*",个税上月累计情况!E:AL,32,0),0),0)</f>
        <v>7500</v>
      </c>
      <c r="BE58" s="90">
        <f>IFERROR(IF(F58="正常工资薪金",VLOOKUP(D58&amp;"*",个税上月累计情况!E:AL,33,0),0),0)</f>
        <v>0</v>
      </c>
      <c r="BF58" s="90">
        <f>IFERROR(IF(F58="正常工资薪金",VLOOKUP(D58&amp;"*",个税上月累计情况!E:AL,34,0),0),0)</f>
        <v>0</v>
      </c>
      <c r="BG58" s="90">
        <f>IFERROR(IF(F58="正常工资薪金",VLOOKUP(D58&amp;"*",个税上月累计情况!E:AN,35,0),0),0)</f>
        <v>0</v>
      </c>
      <c r="BH58" s="90">
        <f>IFERROR(IF(F58="正常工资薪金",VLOOKUP(D58&amp;"*",个税上月累计情况!E:AN,36,0),0),0)</f>
        <v>0</v>
      </c>
      <c r="BI58" s="90">
        <f>IFERROR(IF(F58="正常工资薪金",VLOOKUP(D58&amp;"*",个税上月累计情况!D:AW,46,0),0),0)</f>
        <v>0</v>
      </c>
      <c r="BJ58" s="90">
        <f>IFERROR(IF(F58="正常工资薪金",VLOOKUP(D58&amp;"*",个税上月累计情况!D:AX,47,0),0),0)</f>
        <v>2.04</v>
      </c>
      <c r="BK58" t="e">
        <f>VLOOKUP(B58,花名册!C:N,12,0)</f>
        <v>#N/A</v>
      </c>
    </row>
    <row r="59" ht="19.5" hidden="1" spans="1:63">
      <c r="A59" s="87"/>
      <c r="B59" s="87" t="s">
        <v>381</v>
      </c>
      <c r="C59" s="87" t="s">
        <v>268</v>
      </c>
      <c r="D59" s="87" t="s">
        <v>382</v>
      </c>
      <c r="E59" s="87" t="s">
        <v>270</v>
      </c>
      <c r="F59" s="87" t="s">
        <v>271</v>
      </c>
      <c r="G59" s="89" t="e" cm="1">
        <f t="array" ref="G59">_xlfn.IFS(F59="正常工资薪金",VLOOKUP(D59&amp;"*",工资表明细!D:BL,61,0),F59="一般劳务报酬所得",VLOOKUP(D59&amp;"*",工资表明细!D:BJ,59,0),F59="全年一次性奖金收入",VLOOKUP(D59&amp;"*",工资表明细!D:BI,58,0),F59="解除劳动合同一次性补偿金",VLOOKUP(D59&amp;"*",工资表明细!D:BH,57,0))</f>
        <v>#N/A</v>
      </c>
      <c r="H59" s="89">
        <f t="shared" si="0"/>
        <v>0</v>
      </c>
      <c r="I59" s="89">
        <v>0</v>
      </c>
      <c r="J59" s="89">
        <f t="shared" si="1"/>
        <v>5000</v>
      </c>
      <c r="K59" s="89" t="e">
        <f>IF(F59="正常工资薪金",VLOOKUP(D59&amp;"*",工资表明细!D:AP,39,0),0)</f>
        <v>#N/A</v>
      </c>
      <c r="L59" s="89" t="e">
        <f>IF(F59="正常工资薪金",VLOOKUP(D59&amp;"*",工资表明细!D:AQ,40,0),0)</f>
        <v>#N/A</v>
      </c>
      <c r="M59" s="89" t="e">
        <f>IF(F59="正常工资薪金",VLOOKUP(D59&amp;"*",工资表明细!D:AR,41,0),0)</f>
        <v>#N/A</v>
      </c>
      <c r="N59" s="89" t="e">
        <f>IF(F59="正常工资薪金",VLOOKUP(D59&amp;"*",工资表明细!D:AT,43,0),0)</f>
        <v>#N/A</v>
      </c>
      <c r="O59" s="89">
        <v>54</v>
      </c>
      <c r="P59" s="89">
        <v>54</v>
      </c>
      <c r="Q59" s="89">
        <v>54</v>
      </c>
      <c r="R59" s="89">
        <v>54</v>
      </c>
      <c r="S59" s="89">
        <v>54</v>
      </c>
      <c r="T59" s="89">
        <v>54</v>
      </c>
      <c r="U59" s="89">
        <v>54</v>
      </c>
      <c r="V59" s="89">
        <v>54</v>
      </c>
      <c r="W59" s="87" t="s">
        <v>272</v>
      </c>
      <c r="X59" s="89">
        <v>54</v>
      </c>
      <c r="Y59" s="87" t="s">
        <v>272</v>
      </c>
      <c r="Z59" s="87" t="s">
        <v>272</v>
      </c>
      <c r="AA59" s="87" t="s">
        <v>272</v>
      </c>
      <c r="AB59" s="89">
        <v>54</v>
      </c>
      <c r="AC59" s="89" t="e">
        <f t="shared" si="2"/>
        <v>#N/A</v>
      </c>
      <c r="AD59" s="89">
        <f t="shared" si="3"/>
        <v>25000</v>
      </c>
      <c r="AE59" s="89" t="e">
        <f t="shared" si="4"/>
        <v>#N/A</v>
      </c>
      <c r="AF59" s="89">
        <f t="shared" si="5"/>
        <v>0</v>
      </c>
      <c r="AG59" s="89">
        <f t="shared" si="6"/>
        <v>0</v>
      </c>
      <c r="AH59" s="89">
        <f t="shared" si="7"/>
        <v>0</v>
      </c>
      <c r="AI59" s="89">
        <f t="shared" si="8"/>
        <v>0</v>
      </c>
      <c r="AJ59" s="89">
        <f t="shared" si="9"/>
        <v>0</v>
      </c>
      <c r="AK59" s="89">
        <v>10000</v>
      </c>
      <c r="AL59" s="89">
        <v>0</v>
      </c>
      <c r="AM59" s="89">
        <v>0</v>
      </c>
      <c r="AN59" s="87" t="s">
        <v>273</v>
      </c>
      <c r="AO59" s="89">
        <v>0</v>
      </c>
      <c r="AP59" s="89" t="e">
        <f t="shared" si="11"/>
        <v>#N/A</v>
      </c>
      <c r="AQ59" s="89" t="e" cm="1">
        <f t="array" ref="AQ59">_xlfn.IFS(F59="正常工资薪金",VLOOKUP(AP59,{0,0.03;36000,0.1;144000,0.2;300000,0.25;420000,0.3;660000,0.35;960000,0.45},2,1),F59="一般劳务报酬所得",IF(AP59&lt;=20000,0.2,IF(AP59&lt;=50000,0.3,0.4)),F59="全年一次性奖金收入",VLOOKUP(AP59/12,{0,0.03;3000,0.1;12000,0.2;25000,0.25;35000,0.3;55000,0.35;80000,0.45},2,1),F59="解除劳动合同一次性补偿金",VLOOKUP(AP59,{0,0.03;36000,0.1;144000,0.2;300000,0.25;420000,0.3;660000,0.35;960000,0.45},2,1))</f>
        <v>#N/A</v>
      </c>
      <c r="AR59" s="89" t="e" cm="1">
        <f t="array" ref="AR59">_xlfn.IFS(F59="正常工资薪金",VLOOKUP(AP59,{0,0;36000,2520;144000,16920;300000,31920;420000,52920;660000,85920;960000,181920},2,1),F59="一般劳务报酬所得",IF(AP59&lt;=20000,0,IF(AS&lt;=50000,2000,7000)),F59="全年一次性奖金收入",VLOOKUP(AP59/12,{0,0;3000,210;12000,1410;25000,2660;35000,4410;55000,7160;80000,15160},2,1),F59="解除劳动合同一次性补偿金",VLOOKUP(AP59,{0,0;36000,2520;144000,16920;300000,31920;420000,52920;660000,85920;960000,181920},2,1))</f>
        <v>#N/A</v>
      </c>
      <c r="AS59" s="89" t="e">
        <f t="shared" si="12"/>
        <v>#N/A</v>
      </c>
      <c r="AT59" s="89">
        <v>0</v>
      </c>
      <c r="AU59" s="89">
        <f t="shared" si="13"/>
        <v>13.64</v>
      </c>
      <c r="AV59" s="89" t="e">
        <f t="shared" si="14"/>
        <v>#N/A</v>
      </c>
      <c r="AW59" s="87"/>
      <c r="AX59" s="90">
        <f>IFERROR(IF(F59="正常工资薪金",VLOOKUP(D59&amp;"*",个税上月累计情况!E:AL,26,0),0),0)</f>
        <v>41454.55</v>
      </c>
      <c r="AY59" s="90">
        <f>IFERROR(IF(F59="正常工资薪金",VLOOKUP(D59&amp;"*",个税上月累计情况!E:AL,27,0),0),0)</f>
        <v>20000</v>
      </c>
      <c r="AZ59" s="90">
        <f>IFERROR(IF(F59="正常工资薪金",VLOOKUP(D59&amp;"*",个税上月累计情况!E:AL,28,0),0),0)</f>
        <v>4065.03</v>
      </c>
      <c r="BA59" s="90">
        <f>IFERROR(IF(F59="正常工资薪金",VLOOKUP(D59&amp;"*",个税上月累计情况!E:AL,29,0),0),0)</f>
        <v>0</v>
      </c>
      <c r="BB59" s="90">
        <f>IFERROR(IF(F59="正常工资薪金",VLOOKUP(D59&amp;"*",个税上月累计情况!E:AL,30,0),0),0)</f>
        <v>0</v>
      </c>
      <c r="BC59" s="90">
        <f>IFERROR(IF(F59="正常工资薪金",VLOOKUP(D59&amp;"*",个税上月累计情况!E:AL,31,0),0),0)</f>
        <v>0</v>
      </c>
      <c r="BD59" s="90">
        <f>IFERROR(IF(F59="正常工资薪金",VLOOKUP(D59&amp;"*",个税上月累计情况!E:AL,32,0),0),0)</f>
        <v>7500</v>
      </c>
      <c r="BE59" s="90">
        <f>IFERROR(IF(F59="正常工资薪金",VLOOKUP(D59&amp;"*",个税上月累计情况!E:AL,33,0),0),0)</f>
        <v>0</v>
      </c>
      <c r="BF59" s="90">
        <f>IFERROR(IF(F59="正常工资薪金",VLOOKUP(D59&amp;"*",个税上月累计情况!E:AL,34,0),0),0)</f>
        <v>10000</v>
      </c>
      <c r="BG59" s="90">
        <f>IFERROR(IF(F59="正常工资薪金",VLOOKUP(D59&amp;"*",个税上月累计情况!E:AN,35,0),0),0)</f>
        <v>0</v>
      </c>
      <c r="BH59" s="90">
        <f>IFERROR(IF(F59="正常工资薪金",VLOOKUP(D59&amp;"*",个税上月累计情况!E:AN,36,0),0),0)</f>
        <v>0</v>
      </c>
      <c r="BI59" s="90">
        <f>IFERROR(IF(F59="正常工资薪金",VLOOKUP(D59&amp;"*",个税上月累计情况!D:AW,46,0),0),0)</f>
        <v>13.64</v>
      </c>
      <c r="BJ59" s="90">
        <f>IFERROR(IF(F59="正常工资薪金",VLOOKUP(D59&amp;"*",个税上月累计情况!D:AX,47,0),0),0)</f>
        <v>0</v>
      </c>
      <c r="BK59" t="e">
        <f>VLOOKUP(B59,花名册!C:N,12,0)</f>
        <v>#N/A</v>
      </c>
    </row>
    <row r="60" ht="19.5" hidden="1" spans="1:63">
      <c r="A60" s="87"/>
      <c r="B60" s="87" t="s">
        <v>383</v>
      </c>
      <c r="C60" s="87" t="s">
        <v>268</v>
      </c>
      <c r="D60" s="87" t="s">
        <v>384</v>
      </c>
      <c r="E60" s="87" t="s">
        <v>270</v>
      </c>
      <c r="F60" s="87" t="s">
        <v>271</v>
      </c>
      <c r="G60" s="89" t="e" cm="1">
        <f t="array" ref="G60">_xlfn.IFS(F60="正常工资薪金",VLOOKUP(D60&amp;"*",工资表明细!D:BL,61,0),F60="一般劳务报酬所得",VLOOKUP(D60&amp;"*",工资表明细!D:BJ,59,0),F60="全年一次性奖金收入",VLOOKUP(D60&amp;"*",工资表明细!D:BI,58,0),F60="解除劳动合同一次性补偿金",VLOOKUP(D60&amp;"*",工资表明细!D:BH,57,0))</f>
        <v>#N/A</v>
      </c>
      <c r="H60" s="89">
        <f t="shared" si="0"/>
        <v>0</v>
      </c>
      <c r="I60" s="89">
        <v>0</v>
      </c>
      <c r="J60" s="89">
        <f t="shared" si="1"/>
        <v>5000</v>
      </c>
      <c r="K60" s="89" t="e">
        <f>IF(F60="正常工资薪金",VLOOKUP(D60&amp;"*",工资表明细!D:AP,39,0),0)</f>
        <v>#N/A</v>
      </c>
      <c r="L60" s="89" t="e">
        <f>IF(F60="正常工资薪金",VLOOKUP(D60&amp;"*",工资表明细!D:AQ,40,0),0)</f>
        <v>#N/A</v>
      </c>
      <c r="M60" s="89" t="e">
        <f>IF(F60="正常工资薪金",VLOOKUP(D60&amp;"*",工资表明细!D:AR,41,0),0)</f>
        <v>#N/A</v>
      </c>
      <c r="N60" s="89" t="e">
        <f>IF(F60="正常工资薪金",VLOOKUP(D60&amp;"*",工资表明细!D:AT,43,0),0)</f>
        <v>#N/A</v>
      </c>
      <c r="O60" s="89">
        <v>55</v>
      </c>
      <c r="P60" s="89">
        <v>55</v>
      </c>
      <c r="Q60" s="89">
        <v>55</v>
      </c>
      <c r="R60" s="89">
        <v>55</v>
      </c>
      <c r="S60" s="89">
        <v>55</v>
      </c>
      <c r="T60" s="89">
        <v>55</v>
      </c>
      <c r="U60" s="89">
        <v>55</v>
      </c>
      <c r="V60" s="89">
        <v>55</v>
      </c>
      <c r="W60" s="87" t="s">
        <v>272</v>
      </c>
      <c r="X60" s="89">
        <v>55</v>
      </c>
      <c r="Y60" s="87" t="s">
        <v>272</v>
      </c>
      <c r="Z60" s="87" t="s">
        <v>272</v>
      </c>
      <c r="AA60" s="87" t="s">
        <v>272</v>
      </c>
      <c r="AB60" s="89">
        <v>55</v>
      </c>
      <c r="AC60" s="89" t="e">
        <f t="shared" si="2"/>
        <v>#N/A</v>
      </c>
      <c r="AD60" s="89">
        <f t="shared" si="3"/>
        <v>25000</v>
      </c>
      <c r="AE60" s="89" t="e">
        <f t="shared" si="4"/>
        <v>#N/A</v>
      </c>
      <c r="AF60" s="89">
        <f t="shared" si="5"/>
        <v>0</v>
      </c>
      <c r="AG60" s="89">
        <f t="shared" si="6"/>
        <v>0</v>
      </c>
      <c r="AH60" s="89">
        <f t="shared" si="7"/>
        <v>0</v>
      </c>
      <c r="AI60" s="89">
        <f t="shared" si="8"/>
        <v>0</v>
      </c>
      <c r="AJ60" s="89">
        <f t="shared" si="9"/>
        <v>0</v>
      </c>
      <c r="AK60" s="89">
        <f t="shared" si="10"/>
        <v>0</v>
      </c>
      <c r="AL60" s="89">
        <v>0</v>
      </c>
      <c r="AM60" s="89">
        <v>0</v>
      </c>
      <c r="AN60" s="87" t="s">
        <v>273</v>
      </c>
      <c r="AO60" s="89">
        <v>0</v>
      </c>
      <c r="AP60" s="89" t="e">
        <f t="shared" si="11"/>
        <v>#N/A</v>
      </c>
      <c r="AQ60" s="89" t="e" cm="1">
        <f t="array" ref="AQ60">_xlfn.IFS(F60="正常工资薪金",VLOOKUP(AP60,{0,0.03;36000,0.1;144000,0.2;300000,0.25;420000,0.3;660000,0.35;960000,0.45},2,1),F60="一般劳务报酬所得",IF(AP60&lt;=20000,0.2,IF(AP60&lt;=50000,0.3,0.4)),F60="全年一次性奖金收入",VLOOKUP(AP60/12,{0,0.03;3000,0.1;12000,0.2;25000,0.25;35000,0.3;55000,0.35;80000,0.45},2,1),F60="解除劳动合同一次性补偿金",VLOOKUP(AP60,{0,0.03;36000,0.1;144000,0.2;300000,0.25;420000,0.3;660000,0.35;960000,0.45},2,1))</f>
        <v>#N/A</v>
      </c>
      <c r="AR60" s="89" t="e" cm="1">
        <f t="array" ref="AR60">_xlfn.IFS(F60="正常工资薪金",VLOOKUP(AP60,{0,0;36000,2520;144000,16920;300000,31920;420000,52920;660000,85920;960000,181920},2,1),F60="一般劳务报酬所得",IF(AP60&lt;=20000,0,IF(AS&lt;=50000,2000,7000)),F60="全年一次性奖金收入",VLOOKUP(AP60/12,{0,0;3000,210;12000,1410;25000,2660;35000,4410;55000,7160;80000,15160},2,1),F60="解除劳动合同一次性补偿金",VLOOKUP(AP60,{0,0;36000,2520;144000,16920;300000,31920;420000,52920;660000,85920;960000,181920},2,1))</f>
        <v>#N/A</v>
      </c>
      <c r="AS60" s="89" t="e">
        <f t="shared" si="12"/>
        <v>#N/A</v>
      </c>
      <c r="AT60" s="89">
        <v>0</v>
      </c>
      <c r="AU60" s="89">
        <f t="shared" si="13"/>
        <v>0</v>
      </c>
      <c r="AV60" s="89" t="e">
        <f t="shared" si="14"/>
        <v>#N/A</v>
      </c>
      <c r="AW60" s="87"/>
      <c r="AX60" s="90">
        <f>IFERROR(IF(F60="正常工资薪金",VLOOKUP(D60&amp;"*",个税上月累计情况!E:AL,26,0),0),0)</f>
        <v>21236.36</v>
      </c>
      <c r="AY60" s="90">
        <f>IFERROR(IF(F60="正常工资薪金",VLOOKUP(D60&amp;"*",个税上月累计情况!E:AL,27,0),0),0)</f>
        <v>20000</v>
      </c>
      <c r="AZ60" s="90">
        <f>IFERROR(IF(F60="正常工资薪金",VLOOKUP(D60&amp;"*",个税上月累计情况!E:AL,28,0),0),0)</f>
        <v>2530.59</v>
      </c>
      <c r="BA60" s="90">
        <f>IFERROR(IF(F60="正常工资薪金",VLOOKUP(D60&amp;"*",个税上月累计情况!E:AL,29,0),0),0)</f>
        <v>0</v>
      </c>
      <c r="BB60" s="90">
        <f>IFERROR(IF(F60="正常工资薪金",VLOOKUP(D60&amp;"*",个税上月累计情况!E:AL,30,0),0),0)</f>
        <v>0</v>
      </c>
      <c r="BC60" s="90">
        <f>IFERROR(IF(F60="正常工资薪金",VLOOKUP(D60&amp;"*",个税上月累计情况!E:AL,31,0),0),0)</f>
        <v>0</v>
      </c>
      <c r="BD60" s="90">
        <f>IFERROR(IF(F60="正常工资薪金",VLOOKUP(D60&amp;"*",个税上月累计情况!E:AL,32,0),0),0)</f>
        <v>0</v>
      </c>
      <c r="BE60" s="90">
        <f>IFERROR(IF(F60="正常工资薪金",VLOOKUP(D60&amp;"*",个税上月累计情况!E:AL,33,0),0),0)</f>
        <v>0</v>
      </c>
      <c r="BF60" s="90">
        <f>IFERROR(IF(F60="正常工资薪金",VLOOKUP(D60&amp;"*",个税上月累计情况!E:AL,34,0),0),0)</f>
        <v>0</v>
      </c>
      <c r="BG60" s="90">
        <f>IFERROR(IF(F60="正常工资薪金",VLOOKUP(D60&amp;"*",个税上月累计情况!E:AN,35,0),0),0)</f>
        <v>0</v>
      </c>
      <c r="BH60" s="90">
        <f>IFERROR(IF(F60="正常工资薪金",VLOOKUP(D60&amp;"*",个税上月累计情况!E:AN,36,0),0),0)</f>
        <v>0</v>
      </c>
      <c r="BI60" s="90">
        <f>IFERROR(IF(F60="正常工资薪金",VLOOKUP(D60&amp;"*",个税上月累计情况!D:AW,46,0),0),0)</f>
        <v>0</v>
      </c>
      <c r="BJ60" s="90">
        <f>IFERROR(IF(F60="正常工资薪金",VLOOKUP(D60&amp;"*",个税上月累计情况!D:AX,47,0),0),0)</f>
        <v>0</v>
      </c>
      <c r="BK60" t="e">
        <f>VLOOKUP(B60,花名册!C:N,12,0)</f>
        <v>#N/A</v>
      </c>
    </row>
    <row r="61" ht="19.5" hidden="1" spans="1:63">
      <c r="A61" s="87"/>
      <c r="B61" s="87" t="s">
        <v>385</v>
      </c>
      <c r="C61" s="87" t="s">
        <v>268</v>
      </c>
      <c r="D61" s="87" t="s">
        <v>386</v>
      </c>
      <c r="E61" s="87" t="s">
        <v>270</v>
      </c>
      <c r="F61" s="87" t="s">
        <v>271</v>
      </c>
      <c r="G61" s="89" t="e" cm="1">
        <f t="array" ref="G61">_xlfn.IFS(F61="正常工资薪金",VLOOKUP(D61&amp;"*",工资表明细!D:BL,61,0),F61="一般劳务报酬所得",VLOOKUP(D61&amp;"*",工资表明细!D:BJ,59,0),F61="全年一次性奖金收入",VLOOKUP(D61&amp;"*",工资表明细!D:BI,58,0),F61="解除劳动合同一次性补偿金",VLOOKUP(D61&amp;"*",工资表明细!D:BH,57,0))</f>
        <v>#N/A</v>
      </c>
      <c r="H61" s="89">
        <f t="shared" si="0"/>
        <v>0</v>
      </c>
      <c r="I61" s="89">
        <v>0</v>
      </c>
      <c r="J61" s="89">
        <f t="shared" si="1"/>
        <v>5000</v>
      </c>
      <c r="K61" s="89" t="e">
        <f>IF(F61="正常工资薪金",VLOOKUP(D61&amp;"*",工资表明细!D:AP,39,0),0)</f>
        <v>#N/A</v>
      </c>
      <c r="L61" s="89" t="e">
        <f>IF(F61="正常工资薪金",VLOOKUP(D61&amp;"*",工资表明细!D:AQ,40,0),0)</f>
        <v>#N/A</v>
      </c>
      <c r="M61" s="89" t="e">
        <f>IF(F61="正常工资薪金",VLOOKUP(D61&amp;"*",工资表明细!D:AR,41,0),0)</f>
        <v>#N/A</v>
      </c>
      <c r="N61" s="89" t="e">
        <f>IF(F61="正常工资薪金",VLOOKUP(D61&amp;"*",工资表明细!D:AT,43,0),0)</f>
        <v>#N/A</v>
      </c>
      <c r="O61" s="89">
        <v>56</v>
      </c>
      <c r="P61" s="89">
        <v>56</v>
      </c>
      <c r="Q61" s="89">
        <v>56</v>
      </c>
      <c r="R61" s="89">
        <v>56</v>
      </c>
      <c r="S61" s="89">
        <v>56</v>
      </c>
      <c r="T61" s="89">
        <v>56</v>
      </c>
      <c r="U61" s="89">
        <v>56</v>
      </c>
      <c r="V61" s="89">
        <v>56</v>
      </c>
      <c r="W61" s="87" t="s">
        <v>272</v>
      </c>
      <c r="X61" s="89">
        <v>56</v>
      </c>
      <c r="Y61" s="87" t="s">
        <v>272</v>
      </c>
      <c r="Z61" s="87" t="s">
        <v>272</v>
      </c>
      <c r="AA61" s="87" t="s">
        <v>272</v>
      </c>
      <c r="AB61" s="89">
        <v>56</v>
      </c>
      <c r="AC61" s="89" t="e">
        <f t="shared" si="2"/>
        <v>#N/A</v>
      </c>
      <c r="AD61" s="89">
        <f t="shared" si="3"/>
        <v>25000</v>
      </c>
      <c r="AE61" s="89" t="e">
        <f t="shared" si="4"/>
        <v>#N/A</v>
      </c>
      <c r="AF61" s="89">
        <f t="shared" si="5"/>
        <v>0</v>
      </c>
      <c r="AG61" s="89">
        <f t="shared" si="6"/>
        <v>0</v>
      </c>
      <c r="AH61" s="89">
        <f t="shared" si="7"/>
        <v>0</v>
      </c>
      <c r="AI61" s="89">
        <f t="shared" si="8"/>
        <v>0</v>
      </c>
      <c r="AJ61" s="89">
        <f t="shared" si="9"/>
        <v>0</v>
      </c>
      <c r="AK61" s="89">
        <f t="shared" si="10"/>
        <v>0</v>
      </c>
      <c r="AL61" s="89">
        <v>0</v>
      </c>
      <c r="AM61" s="89">
        <v>0</v>
      </c>
      <c r="AN61" s="87" t="s">
        <v>273</v>
      </c>
      <c r="AO61" s="89">
        <v>0</v>
      </c>
      <c r="AP61" s="89" t="e">
        <f t="shared" si="11"/>
        <v>#N/A</v>
      </c>
      <c r="AQ61" s="89" t="e" cm="1">
        <f t="array" ref="AQ61">_xlfn.IFS(F61="正常工资薪金",VLOOKUP(AP61,{0,0.03;36000,0.1;144000,0.2;300000,0.25;420000,0.3;660000,0.35;960000,0.45},2,1),F61="一般劳务报酬所得",IF(AP61&lt;=20000,0.2,IF(AP61&lt;=50000,0.3,0.4)),F61="全年一次性奖金收入",VLOOKUP(AP61/12,{0,0.03;3000,0.1;12000,0.2;25000,0.25;35000,0.3;55000,0.35;80000,0.45},2,1),F61="解除劳动合同一次性补偿金",VLOOKUP(AP61,{0,0.03;36000,0.1;144000,0.2;300000,0.25;420000,0.3;660000,0.35;960000,0.45},2,1))</f>
        <v>#N/A</v>
      </c>
      <c r="AR61" s="89" t="e" cm="1">
        <f t="array" ref="AR61">_xlfn.IFS(F61="正常工资薪金",VLOOKUP(AP61,{0,0;36000,2520;144000,16920;300000,31920;420000,52920;660000,85920;960000,181920},2,1),F61="一般劳务报酬所得",IF(AP61&lt;=20000,0,IF(AS&lt;=50000,2000,7000)),F61="全年一次性奖金收入",VLOOKUP(AP61/12,{0,0;3000,210;12000,1410;25000,2660;35000,4410;55000,7160;80000,15160},2,1),F61="解除劳动合同一次性补偿金",VLOOKUP(AP61,{0,0;36000,2520;144000,16920;300000,31920;420000,52920;660000,85920;960000,181920},2,1))</f>
        <v>#N/A</v>
      </c>
      <c r="AS61" s="89" t="e">
        <f t="shared" si="12"/>
        <v>#N/A</v>
      </c>
      <c r="AT61" s="89">
        <v>0</v>
      </c>
      <c r="AU61" s="89">
        <f t="shared" si="13"/>
        <v>1209.31</v>
      </c>
      <c r="AV61" s="89" t="e">
        <f t="shared" si="14"/>
        <v>#N/A</v>
      </c>
      <c r="AW61" s="87"/>
      <c r="AX61" s="90">
        <f>IFERROR(IF(F61="正常工资薪金",VLOOKUP(D61&amp;"*",个税上月累计情况!E:AL,26,0),0),0)</f>
        <v>62378.08</v>
      </c>
      <c r="AY61" s="90">
        <f>IFERROR(IF(F61="正常工资薪金",VLOOKUP(D61&amp;"*",个税上月累计情况!E:AL,27,0),0),0)</f>
        <v>20000</v>
      </c>
      <c r="AZ61" s="90">
        <f>IFERROR(IF(F61="正常工资薪金",VLOOKUP(D61&amp;"*",个税上月累计情况!E:AL,28,0),0),0)</f>
        <v>5085.03</v>
      </c>
      <c r="BA61" s="90">
        <f>IFERROR(IF(F61="正常工资薪金",VLOOKUP(D61&amp;"*",个税上月累计情况!E:AL,29,0),0),0)</f>
        <v>0</v>
      </c>
      <c r="BB61" s="90">
        <f>IFERROR(IF(F61="正常工资薪金",VLOOKUP(D61&amp;"*",个税上月累计情况!E:AL,30,0),0),0)</f>
        <v>0</v>
      </c>
      <c r="BC61" s="90">
        <f>IFERROR(IF(F61="正常工资薪金",VLOOKUP(D61&amp;"*",个税上月累计情况!E:AL,31,0),0),0)</f>
        <v>0</v>
      </c>
      <c r="BD61" s="90">
        <f>IFERROR(IF(F61="正常工资薪金",VLOOKUP(D61&amp;"*",个税上月累计情况!E:AL,32,0),0),0)</f>
        <v>0</v>
      </c>
      <c r="BE61" s="90">
        <f>IFERROR(IF(F61="正常工资薪金",VLOOKUP(D61&amp;"*",个税上月累计情况!E:AL,33,0),0),0)</f>
        <v>0</v>
      </c>
      <c r="BF61" s="90">
        <f>IFERROR(IF(F61="正常工资薪金",VLOOKUP(D61&amp;"*",个税上月累计情况!E:AL,34,0),0),0)</f>
        <v>0</v>
      </c>
      <c r="BG61" s="90">
        <f>IFERROR(IF(F61="正常工资薪金",VLOOKUP(D61&amp;"*",个税上月累计情况!E:AN,35,0),0),0)</f>
        <v>0</v>
      </c>
      <c r="BH61" s="90">
        <f>IFERROR(IF(F61="正常工资薪金",VLOOKUP(D61&amp;"*",个税上月累计情况!E:AN,36,0),0),0)</f>
        <v>0</v>
      </c>
      <c r="BI61" s="90">
        <f>IFERROR(IF(F61="正常工资薪金",VLOOKUP(D61&amp;"*",个税上月累计情况!D:AW,46,0),0),0)</f>
        <v>755.7</v>
      </c>
      <c r="BJ61" s="90">
        <f>IFERROR(IF(F61="正常工资薪金",VLOOKUP(D61&amp;"*",个税上月累计情况!D:AX,47,0),0),0)</f>
        <v>453.61</v>
      </c>
      <c r="BK61" t="e">
        <f>VLOOKUP(B61,花名册!C:N,12,0)</f>
        <v>#N/A</v>
      </c>
    </row>
    <row r="62" ht="19.5" hidden="1" spans="1:63">
      <c r="A62" s="87"/>
      <c r="B62" s="87" t="s">
        <v>387</v>
      </c>
      <c r="C62" s="87" t="s">
        <v>268</v>
      </c>
      <c r="D62" s="87" t="s">
        <v>388</v>
      </c>
      <c r="E62" s="87" t="s">
        <v>270</v>
      </c>
      <c r="F62" s="87" t="s">
        <v>271</v>
      </c>
      <c r="G62" s="89" t="e" cm="1">
        <f t="array" ref="G62">_xlfn.IFS(F62="正常工资薪金",VLOOKUP(D62&amp;"*",工资表明细!D:BL,61,0),F62="一般劳务报酬所得",VLOOKUP(D62&amp;"*",工资表明细!D:BJ,59,0),F62="全年一次性奖金收入",VLOOKUP(D62&amp;"*",工资表明细!D:BI,58,0),F62="解除劳动合同一次性补偿金",VLOOKUP(D62&amp;"*",工资表明细!D:BH,57,0))</f>
        <v>#N/A</v>
      </c>
      <c r="H62" s="89">
        <f t="shared" si="0"/>
        <v>0</v>
      </c>
      <c r="I62" s="89">
        <v>0</v>
      </c>
      <c r="J62" s="89">
        <f t="shared" si="1"/>
        <v>5000</v>
      </c>
      <c r="K62" s="89" t="e">
        <f>IF(F62="正常工资薪金",VLOOKUP(D62&amp;"*",工资表明细!D:AP,39,0),0)</f>
        <v>#N/A</v>
      </c>
      <c r="L62" s="89" t="e">
        <f>IF(F62="正常工资薪金",VLOOKUP(D62&amp;"*",工资表明细!D:AQ,40,0),0)</f>
        <v>#N/A</v>
      </c>
      <c r="M62" s="89" t="e">
        <f>IF(F62="正常工资薪金",VLOOKUP(D62&amp;"*",工资表明细!D:AR,41,0),0)</f>
        <v>#N/A</v>
      </c>
      <c r="N62" s="89" t="e">
        <f>IF(F62="正常工资薪金",VLOOKUP(D62&amp;"*",工资表明细!D:AT,43,0),0)</f>
        <v>#N/A</v>
      </c>
      <c r="O62" s="89">
        <v>57</v>
      </c>
      <c r="P62" s="89">
        <v>57</v>
      </c>
      <c r="Q62" s="89">
        <v>57</v>
      </c>
      <c r="R62" s="89">
        <v>57</v>
      </c>
      <c r="S62" s="89">
        <v>57</v>
      </c>
      <c r="T62" s="89">
        <v>57</v>
      </c>
      <c r="U62" s="89">
        <v>57</v>
      </c>
      <c r="V62" s="89">
        <v>57</v>
      </c>
      <c r="W62" s="87" t="s">
        <v>272</v>
      </c>
      <c r="X62" s="89">
        <v>57</v>
      </c>
      <c r="Y62" s="87" t="s">
        <v>272</v>
      </c>
      <c r="Z62" s="87" t="s">
        <v>272</v>
      </c>
      <c r="AA62" s="87" t="s">
        <v>272</v>
      </c>
      <c r="AB62" s="89">
        <v>57</v>
      </c>
      <c r="AC62" s="89" t="e">
        <f t="shared" si="2"/>
        <v>#N/A</v>
      </c>
      <c r="AD62" s="89">
        <f t="shared" si="3"/>
        <v>25000</v>
      </c>
      <c r="AE62" s="89" t="e">
        <f t="shared" si="4"/>
        <v>#N/A</v>
      </c>
      <c r="AF62" s="89">
        <f t="shared" si="5"/>
        <v>0</v>
      </c>
      <c r="AG62" s="89">
        <f t="shared" si="6"/>
        <v>0</v>
      </c>
      <c r="AH62" s="89">
        <f t="shared" si="7"/>
        <v>0</v>
      </c>
      <c r="AI62" s="89">
        <f t="shared" si="8"/>
        <v>0</v>
      </c>
      <c r="AJ62" s="89">
        <f t="shared" si="9"/>
        <v>0</v>
      </c>
      <c r="AK62" s="89">
        <f t="shared" si="10"/>
        <v>0</v>
      </c>
      <c r="AL62" s="89">
        <v>0</v>
      </c>
      <c r="AM62" s="89">
        <v>0</v>
      </c>
      <c r="AN62" s="87" t="s">
        <v>273</v>
      </c>
      <c r="AO62" s="89">
        <v>0</v>
      </c>
      <c r="AP62" s="89" t="e">
        <f t="shared" si="11"/>
        <v>#N/A</v>
      </c>
      <c r="AQ62" s="89" t="e" cm="1">
        <f t="array" ref="AQ62">_xlfn.IFS(F62="正常工资薪金",VLOOKUP(AP62,{0,0.03;36000,0.1;144000,0.2;300000,0.25;420000,0.3;660000,0.35;960000,0.45},2,1),F62="一般劳务报酬所得",IF(AP62&lt;=20000,0.2,IF(AP62&lt;=50000,0.3,0.4)),F62="全年一次性奖金收入",VLOOKUP(AP62/12,{0,0.03;3000,0.1;12000,0.2;25000,0.25;35000,0.3;55000,0.35;80000,0.45},2,1),F62="解除劳动合同一次性补偿金",VLOOKUP(AP62,{0,0.03;36000,0.1;144000,0.2;300000,0.25;420000,0.3;660000,0.35;960000,0.45},2,1))</f>
        <v>#N/A</v>
      </c>
      <c r="AR62" s="89" t="e" cm="1">
        <f t="array" ref="AR62">_xlfn.IFS(F62="正常工资薪金",VLOOKUP(AP62,{0,0;36000,2520;144000,16920;300000,31920;420000,52920;660000,85920;960000,181920},2,1),F62="一般劳务报酬所得",IF(AP62&lt;=20000,0,IF(AS&lt;=50000,2000,7000)),F62="全年一次性奖金收入",VLOOKUP(AP62/12,{0,0;3000,210;12000,1410;25000,2660;35000,4410;55000,7160;80000,15160},2,1),F62="解除劳动合同一次性补偿金",VLOOKUP(AP62,{0,0;36000,2520;144000,16920;300000,31920;420000,52920;660000,85920;960000,181920},2,1))</f>
        <v>#N/A</v>
      </c>
      <c r="AS62" s="89" t="e">
        <f t="shared" si="12"/>
        <v>#N/A</v>
      </c>
      <c r="AT62" s="89">
        <v>0</v>
      </c>
      <c r="AU62" s="89">
        <f t="shared" si="13"/>
        <v>257.64</v>
      </c>
      <c r="AV62" s="89" t="e">
        <f t="shared" si="14"/>
        <v>#N/A</v>
      </c>
      <c r="AW62" s="87"/>
      <c r="AX62" s="90">
        <f>IFERROR(IF(F62="正常工资薪金",VLOOKUP(D62&amp;"*",个税上月累计情况!E:AL,26,0),0),0)</f>
        <v>32352.88</v>
      </c>
      <c r="AY62" s="90">
        <f>IFERROR(IF(F62="正常工资薪金",VLOOKUP(D62&amp;"*",个税上月累计情况!E:AL,27,0),0),0)</f>
        <v>20000</v>
      </c>
      <c r="AZ62" s="90">
        <f>IFERROR(IF(F62="正常工资薪金",VLOOKUP(D62&amp;"*",个税上月累计情况!E:AL,28,0),0),0)</f>
        <v>3765.03</v>
      </c>
      <c r="BA62" s="90">
        <f>IFERROR(IF(F62="正常工资薪金",VLOOKUP(D62&amp;"*",个税上月累计情况!E:AL,29,0),0),0)</f>
        <v>0</v>
      </c>
      <c r="BB62" s="90">
        <f>IFERROR(IF(F62="正常工资薪金",VLOOKUP(D62&amp;"*",个税上月累计情况!E:AL,30,0),0),0)</f>
        <v>0</v>
      </c>
      <c r="BC62" s="90">
        <f>IFERROR(IF(F62="正常工资薪金",VLOOKUP(D62&amp;"*",个税上月累计情况!E:AL,31,0),0),0)</f>
        <v>0</v>
      </c>
      <c r="BD62" s="90">
        <f>IFERROR(IF(F62="正常工资薪金",VLOOKUP(D62&amp;"*",个税上月累计情况!E:AL,32,0),0),0)</f>
        <v>0</v>
      </c>
      <c r="BE62" s="90">
        <f>IFERROR(IF(F62="正常工资薪金",VLOOKUP(D62&amp;"*",个税上月累计情况!E:AL,33,0),0),0)</f>
        <v>0</v>
      </c>
      <c r="BF62" s="90">
        <f>IFERROR(IF(F62="正常工资薪金",VLOOKUP(D62&amp;"*",个税上月累计情况!E:AL,34,0),0),0)</f>
        <v>0</v>
      </c>
      <c r="BG62" s="90">
        <f>IFERROR(IF(F62="正常工资薪金",VLOOKUP(D62&amp;"*",个税上月累计情况!E:AN,35,0),0),0)</f>
        <v>0</v>
      </c>
      <c r="BH62" s="90">
        <f>IFERROR(IF(F62="正常工资薪金",VLOOKUP(D62&amp;"*",个税上月累计情况!E:AN,36,0),0),0)</f>
        <v>0</v>
      </c>
      <c r="BI62" s="90">
        <f>IFERROR(IF(F62="正常工资薪金",VLOOKUP(D62&amp;"*",个税上月累计情况!D:AW,46,0),0),0)</f>
        <v>153.6</v>
      </c>
      <c r="BJ62" s="90">
        <f>IFERROR(IF(F62="正常工资薪金",VLOOKUP(D62&amp;"*",个税上月累计情况!D:AX,47,0),0),0)</f>
        <v>104.04</v>
      </c>
      <c r="BK62" t="e">
        <f>VLOOKUP(B62,花名册!C:N,12,0)</f>
        <v>#N/A</v>
      </c>
    </row>
    <row r="63" ht="19.5" hidden="1" spans="1:63">
      <c r="A63" s="87"/>
      <c r="B63" s="87" t="s">
        <v>389</v>
      </c>
      <c r="C63" s="87" t="s">
        <v>268</v>
      </c>
      <c r="D63" s="87" t="s">
        <v>390</v>
      </c>
      <c r="E63" s="87" t="s">
        <v>270</v>
      </c>
      <c r="F63" s="87" t="s">
        <v>271</v>
      </c>
      <c r="G63" s="89" t="e" cm="1">
        <f t="array" ref="G63">_xlfn.IFS(F63="正常工资薪金",VLOOKUP(D63&amp;"*",工资表明细!D:BL,61,0),F63="一般劳务报酬所得",VLOOKUP(D63&amp;"*",工资表明细!D:BJ,59,0),F63="全年一次性奖金收入",VLOOKUP(D63&amp;"*",工资表明细!D:BI,58,0),F63="解除劳动合同一次性补偿金",VLOOKUP(D63&amp;"*",工资表明细!D:BH,57,0))</f>
        <v>#N/A</v>
      </c>
      <c r="H63" s="89">
        <f t="shared" si="0"/>
        <v>0</v>
      </c>
      <c r="I63" s="89">
        <v>0</v>
      </c>
      <c r="J63" s="89">
        <f t="shared" si="1"/>
        <v>5000</v>
      </c>
      <c r="K63" s="89" t="e">
        <f>IF(F63="正常工资薪金",VLOOKUP(D63&amp;"*",工资表明细!D:AP,39,0),0)</f>
        <v>#N/A</v>
      </c>
      <c r="L63" s="89" t="e">
        <f>IF(F63="正常工资薪金",VLOOKUP(D63&amp;"*",工资表明细!D:AQ,40,0),0)</f>
        <v>#N/A</v>
      </c>
      <c r="M63" s="89" t="e">
        <f>IF(F63="正常工资薪金",VLOOKUP(D63&amp;"*",工资表明细!D:AR,41,0),0)</f>
        <v>#N/A</v>
      </c>
      <c r="N63" s="89" t="e">
        <f>IF(F63="正常工资薪金",VLOOKUP(D63&amp;"*",工资表明细!D:AT,43,0),0)</f>
        <v>#N/A</v>
      </c>
      <c r="O63" s="89">
        <v>58</v>
      </c>
      <c r="P63" s="89">
        <v>58</v>
      </c>
      <c r="Q63" s="89">
        <v>58</v>
      </c>
      <c r="R63" s="89">
        <v>58</v>
      </c>
      <c r="S63" s="89">
        <v>58</v>
      </c>
      <c r="T63" s="89">
        <v>58</v>
      </c>
      <c r="U63" s="89">
        <v>58</v>
      </c>
      <c r="V63" s="89">
        <v>58</v>
      </c>
      <c r="W63" s="87" t="s">
        <v>272</v>
      </c>
      <c r="X63" s="89">
        <v>58</v>
      </c>
      <c r="Y63" s="87" t="s">
        <v>272</v>
      </c>
      <c r="Z63" s="87" t="s">
        <v>272</v>
      </c>
      <c r="AA63" s="87" t="s">
        <v>272</v>
      </c>
      <c r="AB63" s="89">
        <v>58</v>
      </c>
      <c r="AC63" s="89" t="e">
        <f t="shared" si="2"/>
        <v>#N/A</v>
      </c>
      <c r="AD63" s="89">
        <f t="shared" si="3"/>
        <v>25000</v>
      </c>
      <c r="AE63" s="89" t="e">
        <f t="shared" si="4"/>
        <v>#N/A</v>
      </c>
      <c r="AF63" s="89">
        <f t="shared" si="5"/>
        <v>0</v>
      </c>
      <c r="AG63" s="89">
        <f t="shared" si="6"/>
        <v>0</v>
      </c>
      <c r="AH63" s="89">
        <f t="shared" si="7"/>
        <v>0</v>
      </c>
      <c r="AI63" s="89">
        <f t="shared" si="8"/>
        <v>0</v>
      </c>
      <c r="AJ63" s="89">
        <f t="shared" si="9"/>
        <v>0</v>
      </c>
      <c r="AK63" s="89">
        <f t="shared" si="10"/>
        <v>0</v>
      </c>
      <c r="AL63" s="89">
        <v>0</v>
      </c>
      <c r="AM63" s="89">
        <v>0</v>
      </c>
      <c r="AN63" s="87" t="s">
        <v>273</v>
      </c>
      <c r="AO63" s="89">
        <v>0</v>
      </c>
      <c r="AP63" s="89" t="e">
        <f t="shared" si="11"/>
        <v>#N/A</v>
      </c>
      <c r="AQ63" s="89" t="e" cm="1">
        <f t="array" ref="AQ63">_xlfn.IFS(F63="正常工资薪金",VLOOKUP(AP63,{0,0.03;36000,0.1;144000,0.2;300000,0.25;420000,0.3;660000,0.35;960000,0.45},2,1),F63="一般劳务报酬所得",IF(AP63&lt;=20000,0.2,IF(AP63&lt;=50000,0.3,0.4)),F63="全年一次性奖金收入",VLOOKUP(AP63/12,{0,0.03;3000,0.1;12000,0.2;25000,0.25;35000,0.3;55000,0.35;80000,0.45},2,1),F63="解除劳动合同一次性补偿金",VLOOKUP(AP63,{0,0.03;36000,0.1;144000,0.2;300000,0.25;420000,0.3;660000,0.35;960000,0.45},2,1))</f>
        <v>#N/A</v>
      </c>
      <c r="AR63" s="89" t="e" cm="1">
        <f t="array" ref="AR63">_xlfn.IFS(F63="正常工资薪金",VLOOKUP(AP63,{0,0;36000,2520;144000,16920;300000,31920;420000,52920;660000,85920;960000,181920},2,1),F63="一般劳务报酬所得",IF(AP63&lt;=20000,0,IF(AS&lt;=50000,2000,7000)),F63="全年一次性奖金收入",VLOOKUP(AP63/12,{0,0;3000,210;12000,1410;25000,2660;35000,4410;55000,7160;80000,15160},2,1),F63="解除劳动合同一次性补偿金",VLOOKUP(AP63,{0,0;36000,2520;144000,16920;300000,31920;420000,52920;660000,85920;960000,181920},2,1))</f>
        <v>#N/A</v>
      </c>
      <c r="AS63" s="89" t="e">
        <f t="shared" si="12"/>
        <v>#N/A</v>
      </c>
      <c r="AT63" s="89">
        <v>0</v>
      </c>
      <c r="AU63" s="89">
        <f t="shared" si="13"/>
        <v>439.87</v>
      </c>
      <c r="AV63" s="89" t="e">
        <f t="shared" si="14"/>
        <v>#N/A</v>
      </c>
      <c r="AW63" s="87"/>
      <c r="AX63" s="90">
        <f>IFERROR(IF(F63="正常工资薪金",VLOOKUP(D63&amp;"*",个税上月累计情况!E:AL,26,0),0),0)</f>
        <v>38727.27</v>
      </c>
      <c r="AY63" s="90">
        <f>IFERROR(IF(F63="正常工资薪金",VLOOKUP(D63&amp;"*",个税上月累计情况!E:AL,27,0),0),0)</f>
        <v>20000</v>
      </c>
      <c r="AZ63" s="90">
        <f>IFERROR(IF(F63="正常工资薪金",VLOOKUP(D63&amp;"*",个税上月累计情况!E:AL,28,0),0),0)</f>
        <v>4065.03</v>
      </c>
      <c r="BA63" s="90">
        <f>IFERROR(IF(F63="正常工资薪金",VLOOKUP(D63&amp;"*",个税上月累计情况!E:AL,29,0),0),0)</f>
        <v>0</v>
      </c>
      <c r="BB63" s="90">
        <f>IFERROR(IF(F63="正常工资薪金",VLOOKUP(D63&amp;"*",个税上月累计情况!E:AL,30,0),0),0)</f>
        <v>0</v>
      </c>
      <c r="BC63" s="90">
        <f>IFERROR(IF(F63="正常工资薪金",VLOOKUP(D63&amp;"*",个税上月累计情况!E:AL,31,0),0),0)</f>
        <v>0</v>
      </c>
      <c r="BD63" s="90">
        <f>IFERROR(IF(F63="正常工资薪金",VLOOKUP(D63&amp;"*",个税上月累计情况!E:AL,32,0),0),0)</f>
        <v>0</v>
      </c>
      <c r="BE63" s="90">
        <f>IFERROR(IF(F63="正常工资薪金",VLOOKUP(D63&amp;"*",个税上月累计情况!E:AL,33,0),0),0)</f>
        <v>0</v>
      </c>
      <c r="BF63" s="90">
        <f>IFERROR(IF(F63="正常工资薪金",VLOOKUP(D63&amp;"*",个税上月累计情况!E:AL,34,0),0),0)</f>
        <v>0</v>
      </c>
      <c r="BG63" s="90">
        <f>IFERROR(IF(F63="正常工资薪金",VLOOKUP(D63&amp;"*",个税上月累计情况!E:AN,35,0),0),0)</f>
        <v>0</v>
      </c>
      <c r="BH63" s="90">
        <f>IFERROR(IF(F63="正常工资薪金",VLOOKUP(D63&amp;"*",个税上月累计情况!E:AN,36,0),0),0)</f>
        <v>0</v>
      </c>
      <c r="BI63" s="90">
        <f>IFERROR(IF(F63="正常工资薪金",VLOOKUP(D63&amp;"*",个税上月累计情况!D:AW,46,0),0),0)</f>
        <v>270.52</v>
      </c>
      <c r="BJ63" s="90">
        <f>IFERROR(IF(F63="正常工资薪金",VLOOKUP(D63&amp;"*",个税上月累计情况!D:AX,47,0),0),0)</f>
        <v>169.35</v>
      </c>
      <c r="BK63" t="e">
        <f>VLOOKUP(B63,花名册!C:N,12,0)</f>
        <v>#N/A</v>
      </c>
    </row>
    <row r="64" ht="19.5" hidden="1" spans="1:63">
      <c r="A64" s="87"/>
      <c r="B64" s="87" t="s">
        <v>391</v>
      </c>
      <c r="C64" s="87" t="s">
        <v>268</v>
      </c>
      <c r="D64" s="87" t="s">
        <v>392</v>
      </c>
      <c r="E64" s="87" t="s">
        <v>270</v>
      </c>
      <c r="F64" s="87" t="s">
        <v>271</v>
      </c>
      <c r="G64" s="89" t="e" cm="1">
        <f t="array" ref="G64">_xlfn.IFS(F64="正常工资薪金",VLOOKUP(D64&amp;"*",工资表明细!D:BL,61,0),F64="一般劳务报酬所得",VLOOKUP(D64&amp;"*",工资表明细!D:BJ,59,0),F64="全年一次性奖金收入",VLOOKUP(D64&amp;"*",工资表明细!D:BI,58,0),F64="解除劳动合同一次性补偿金",VLOOKUP(D64&amp;"*",工资表明细!D:BH,57,0))</f>
        <v>#N/A</v>
      </c>
      <c r="H64" s="89">
        <f t="shared" si="0"/>
        <v>0</v>
      </c>
      <c r="I64" s="89">
        <v>0</v>
      </c>
      <c r="J64" s="89">
        <f t="shared" si="1"/>
        <v>5000</v>
      </c>
      <c r="K64" s="89" t="e">
        <f>IF(F64="正常工资薪金",VLOOKUP(D64&amp;"*",工资表明细!D:AP,39,0),0)</f>
        <v>#N/A</v>
      </c>
      <c r="L64" s="89" t="e">
        <f>IF(F64="正常工资薪金",VLOOKUP(D64&amp;"*",工资表明细!D:AQ,40,0),0)</f>
        <v>#N/A</v>
      </c>
      <c r="M64" s="89" t="e">
        <f>IF(F64="正常工资薪金",VLOOKUP(D64&amp;"*",工资表明细!D:AR,41,0),0)</f>
        <v>#N/A</v>
      </c>
      <c r="N64" s="89" t="e">
        <f>IF(F64="正常工资薪金",VLOOKUP(D64&amp;"*",工资表明细!D:AT,43,0),0)</f>
        <v>#N/A</v>
      </c>
      <c r="O64" s="89">
        <v>59</v>
      </c>
      <c r="P64" s="89">
        <v>59</v>
      </c>
      <c r="Q64" s="89">
        <v>59</v>
      </c>
      <c r="R64" s="89">
        <v>59</v>
      </c>
      <c r="S64" s="89">
        <v>59</v>
      </c>
      <c r="T64" s="89">
        <v>59</v>
      </c>
      <c r="U64" s="89">
        <v>59</v>
      </c>
      <c r="V64" s="89">
        <v>59</v>
      </c>
      <c r="W64" s="87" t="s">
        <v>272</v>
      </c>
      <c r="X64" s="89">
        <v>59</v>
      </c>
      <c r="Y64" s="87" t="s">
        <v>272</v>
      </c>
      <c r="Z64" s="87" t="s">
        <v>272</v>
      </c>
      <c r="AA64" s="87" t="s">
        <v>272</v>
      </c>
      <c r="AB64" s="89">
        <v>59</v>
      </c>
      <c r="AC64" s="89" t="e">
        <f t="shared" si="2"/>
        <v>#N/A</v>
      </c>
      <c r="AD64" s="89">
        <f t="shared" si="3"/>
        <v>25000</v>
      </c>
      <c r="AE64" s="89" t="e">
        <f t="shared" si="4"/>
        <v>#N/A</v>
      </c>
      <c r="AF64" s="89">
        <f t="shared" si="5"/>
        <v>0</v>
      </c>
      <c r="AG64" s="89">
        <f t="shared" si="6"/>
        <v>0</v>
      </c>
      <c r="AH64" s="89">
        <f t="shared" si="7"/>
        <v>0</v>
      </c>
      <c r="AI64" s="89">
        <f t="shared" si="8"/>
        <v>0</v>
      </c>
      <c r="AJ64" s="89">
        <f t="shared" si="9"/>
        <v>0</v>
      </c>
      <c r="AK64" s="89">
        <f t="shared" si="10"/>
        <v>0</v>
      </c>
      <c r="AL64" s="89">
        <v>0</v>
      </c>
      <c r="AM64" s="89">
        <v>0</v>
      </c>
      <c r="AN64" s="87" t="s">
        <v>273</v>
      </c>
      <c r="AO64" s="89">
        <v>0</v>
      </c>
      <c r="AP64" s="89" t="e">
        <f t="shared" si="11"/>
        <v>#N/A</v>
      </c>
      <c r="AQ64" s="89" t="e" cm="1">
        <f t="array" ref="AQ64">_xlfn.IFS(F64="正常工资薪金",VLOOKUP(AP64,{0,0.03;36000,0.1;144000,0.2;300000,0.25;420000,0.3;660000,0.35;960000,0.45},2,1),F64="一般劳务报酬所得",IF(AP64&lt;=20000,0.2,IF(AP64&lt;=50000,0.3,0.4)),F64="全年一次性奖金收入",VLOOKUP(AP64/12,{0,0.03;3000,0.1;12000,0.2;25000,0.25;35000,0.3;55000,0.35;80000,0.45},2,1),F64="解除劳动合同一次性补偿金",VLOOKUP(AP64,{0,0.03;36000,0.1;144000,0.2;300000,0.25;420000,0.3;660000,0.35;960000,0.45},2,1))</f>
        <v>#N/A</v>
      </c>
      <c r="AR64" s="89" t="e" cm="1">
        <f t="array" ref="AR64">_xlfn.IFS(F64="正常工资薪金",VLOOKUP(AP64,{0,0;36000,2520;144000,16920;300000,31920;420000,52920;660000,85920;960000,181920},2,1),F64="一般劳务报酬所得",IF(AP64&lt;=20000,0,IF(AS&lt;=50000,2000,7000)),F64="全年一次性奖金收入",VLOOKUP(AP64/12,{0,0;3000,210;12000,1410;25000,2660;35000,4410;55000,7160;80000,15160},2,1),F64="解除劳动合同一次性补偿金",VLOOKUP(AP64,{0,0;36000,2520;144000,16920;300000,31920;420000,52920;660000,85920;960000,181920},2,1))</f>
        <v>#N/A</v>
      </c>
      <c r="AS64" s="89" t="e">
        <f t="shared" si="12"/>
        <v>#N/A</v>
      </c>
      <c r="AT64" s="89">
        <v>0</v>
      </c>
      <c r="AU64" s="89">
        <f t="shared" si="13"/>
        <v>0</v>
      </c>
      <c r="AV64" s="89" t="e">
        <f t="shared" si="14"/>
        <v>#N/A</v>
      </c>
      <c r="AW64" s="87"/>
      <c r="AX64" s="90">
        <f>IFERROR(IF(F64="正常工资薪金",VLOOKUP(D64&amp;"*",个税上月累计情况!E:AL,26,0),0),0)</f>
        <v>17591.09</v>
      </c>
      <c r="AY64" s="90">
        <f>IFERROR(IF(F64="正常工资薪金",VLOOKUP(D64&amp;"*",个税上月累计情况!E:AL,27,0),0),0)</f>
        <v>20000</v>
      </c>
      <c r="AZ64" s="90">
        <f>IFERROR(IF(F64="正常工资薪金",VLOOKUP(D64&amp;"*",个税上月累计情况!E:AL,28,0),0),0)</f>
        <v>2076.96</v>
      </c>
      <c r="BA64" s="90">
        <f>IFERROR(IF(F64="正常工资薪金",VLOOKUP(D64&amp;"*",个税上月累计情况!E:AL,29,0),0),0)</f>
        <v>0</v>
      </c>
      <c r="BB64" s="90">
        <f>IFERROR(IF(F64="正常工资薪金",VLOOKUP(D64&amp;"*",个税上月累计情况!E:AL,30,0),0),0)</f>
        <v>0</v>
      </c>
      <c r="BC64" s="90">
        <f>IFERROR(IF(F64="正常工资薪金",VLOOKUP(D64&amp;"*",个税上月累计情况!E:AL,31,0),0),0)</f>
        <v>0</v>
      </c>
      <c r="BD64" s="90">
        <f>IFERROR(IF(F64="正常工资薪金",VLOOKUP(D64&amp;"*",个税上月累计情况!E:AL,32,0),0),0)</f>
        <v>0</v>
      </c>
      <c r="BE64" s="90">
        <f>IFERROR(IF(F64="正常工资薪金",VLOOKUP(D64&amp;"*",个税上月累计情况!E:AL,33,0),0),0)</f>
        <v>0</v>
      </c>
      <c r="BF64" s="90">
        <f>IFERROR(IF(F64="正常工资薪金",VLOOKUP(D64&amp;"*",个税上月累计情况!E:AL,34,0),0),0)</f>
        <v>0</v>
      </c>
      <c r="BG64" s="90">
        <f>IFERROR(IF(F64="正常工资薪金",VLOOKUP(D64&amp;"*",个税上月累计情况!E:AN,35,0),0),0)</f>
        <v>0</v>
      </c>
      <c r="BH64" s="90">
        <f>IFERROR(IF(F64="正常工资薪金",VLOOKUP(D64&amp;"*",个税上月累计情况!E:AN,36,0),0),0)</f>
        <v>0</v>
      </c>
      <c r="BI64" s="90">
        <f>IFERROR(IF(F64="正常工资薪金",VLOOKUP(D64&amp;"*",个税上月累计情况!D:AW,46,0),0),0)</f>
        <v>0</v>
      </c>
      <c r="BJ64" s="90">
        <f>IFERROR(IF(F64="正常工资薪金",VLOOKUP(D64&amp;"*",个税上月累计情况!D:AX,47,0),0),0)</f>
        <v>0</v>
      </c>
      <c r="BK64" t="e">
        <f>VLOOKUP(B64,花名册!C:N,12,0)</f>
        <v>#N/A</v>
      </c>
    </row>
    <row r="65" ht="19.5" hidden="1" spans="1:63">
      <c r="A65" s="87"/>
      <c r="B65" s="87" t="s">
        <v>393</v>
      </c>
      <c r="C65" s="87" t="s">
        <v>268</v>
      </c>
      <c r="D65" s="87" t="s">
        <v>394</v>
      </c>
      <c r="E65" s="87" t="s">
        <v>270</v>
      </c>
      <c r="F65" s="87" t="s">
        <v>271</v>
      </c>
      <c r="G65" s="89" t="e" cm="1">
        <f t="array" ref="G65">_xlfn.IFS(F65="正常工资薪金",VLOOKUP(D65&amp;"*",工资表明细!D:BL,61,0),F65="一般劳务报酬所得",VLOOKUP(D65&amp;"*",工资表明细!D:BJ,59,0),F65="全年一次性奖金收入",VLOOKUP(D65&amp;"*",工资表明细!D:BI,58,0),F65="解除劳动合同一次性补偿金",VLOOKUP(D65&amp;"*",工资表明细!D:BH,57,0))</f>
        <v>#N/A</v>
      </c>
      <c r="H65" s="89">
        <f t="shared" si="0"/>
        <v>0</v>
      </c>
      <c r="I65" s="89">
        <v>0</v>
      </c>
      <c r="J65" s="89">
        <f t="shared" si="1"/>
        <v>5000</v>
      </c>
      <c r="K65" s="89" t="e">
        <f>IF(F65="正常工资薪金",VLOOKUP(D65&amp;"*",工资表明细!D:AP,39,0),0)</f>
        <v>#N/A</v>
      </c>
      <c r="L65" s="89" t="e">
        <f>IF(F65="正常工资薪金",VLOOKUP(D65&amp;"*",工资表明细!D:AQ,40,0),0)</f>
        <v>#N/A</v>
      </c>
      <c r="M65" s="89" t="e">
        <f>IF(F65="正常工资薪金",VLOOKUP(D65&amp;"*",工资表明细!D:AR,41,0),0)</f>
        <v>#N/A</v>
      </c>
      <c r="N65" s="89" t="e">
        <f>IF(F65="正常工资薪金",VLOOKUP(D65&amp;"*",工资表明细!D:AT,43,0),0)</f>
        <v>#N/A</v>
      </c>
      <c r="O65" s="89">
        <v>60</v>
      </c>
      <c r="P65" s="89">
        <v>60</v>
      </c>
      <c r="Q65" s="89">
        <v>60</v>
      </c>
      <c r="R65" s="89">
        <v>60</v>
      </c>
      <c r="S65" s="89">
        <v>60</v>
      </c>
      <c r="T65" s="89">
        <v>60</v>
      </c>
      <c r="U65" s="89">
        <v>60</v>
      </c>
      <c r="V65" s="89">
        <v>60</v>
      </c>
      <c r="W65" s="87" t="s">
        <v>272</v>
      </c>
      <c r="X65" s="89">
        <v>60</v>
      </c>
      <c r="Y65" s="87" t="s">
        <v>272</v>
      </c>
      <c r="Z65" s="87" t="s">
        <v>272</v>
      </c>
      <c r="AA65" s="87" t="s">
        <v>272</v>
      </c>
      <c r="AB65" s="89">
        <v>60</v>
      </c>
      <c r="AC65" s="89" t="e">
        <f t="shared" si="2"/>
        <v>#N/A</v>
      </c>
      <c r="AD65" s="89">
        <f t="shared" si="3"/>
        <v>25000</v>
      </c>
      <c r="AE65" s="89" t="e">
        <f t="shared" si="4"/>
        <v>#N/A</v>
      </c>
      <c r="AF65" s="89">
        <f t="shared" si="5"/>
        <v>0</v>
      </c>
      <c r="AG65" s="89">
        <f t="shared" si="6"/>
        <v>0</v>
      </c>
      <c r="AH65" s="89">
        <f t="shared" si="7"/>
        <v>0</v>
      </c>
      <c r="AI65" s="89">
        <f t="shared" si="8"/>
        <v>0</v>
      </c>
      <c r="AJ65" s="89">
        <f t="shared" si="9"/>
        <v>0</v>
      </c>
      <c r="AK65" s="89">
        <f t="shared" si="10"/>
        <v>0</v>
      </c>
      <c r="AL65" s="89">
        <v>0</v>
      </c>
      <c r="AM65" s="89">
        <v>0</v>
      </c>
      <c r="AN65" s="87" t="s">
        <v>273</v>
      </c>
      <c r="AO65" s="89">
        <v>0</v>
      </c>
      <c r="AP65" s="89" t="e">
        <f t="shared" si="11"/>
        <v>#N/A</v>
      </c>
      <c r="AQ65" s="89" t="e" cm="1">
        <f t="array" ref="AQ65">_xlfn.IFS(F65="正常工资薪金",VLOOKUP(AP65,{0,0.03;36000,0.1;144000,0.2;300000,0.25;420000,0.3;660000,0.35;960000,0.45},2,1),F65="一般劳务报酬所得",IF(AP65&lt;=20000,0.2,IF(AP65&lt;=50000,0.3,0.4)),F65="全年一次性奖金收入",VLOOKUP(AP65/12,{0,0.03;3000,0.1;12000,0.2;25000,0.25;35000,0.3;55000,0.35;80000,0.45},2,1),F65="解除劳动合同一次性补偿金",VLOOKUP(AP65,{0,0.03;36000,0.1;144000,0.2;300000,0.25;420000,0.3;660000,0.35;960000,0.45},2,1))</f>
        <v>#N/A</v>
      </c>
      <c r="AR65" s="89" t="e" cm="1">
        <f t="array" ref="AR65">_xlfn.IFS(F65="正常工资薪金",VLOOKUP(AP65,{0,0;36000,2520;144000,16920;300000,31920;420000,52920;660000,85920;960000,181920},2,1),F65="一般劳务报酬所得",IF(AP65&lt;=20000,0,IF(AS&lt;=50000,2000,7000)),F65="全年一次性奖金收入",VLOOKUP(AP65/12,{0,0;3000,210;12000,1410;25000,2660;35000,4410;55000,7160;80000,15160},2,1),F65="解除劳动合同一次性补偿金",VLOOKUP(AP65,{0,0;36000,2520;144000,16920;300000,31920;420000,52920;660000,85920;960000,181920},2,1))</f>
        <v>#N/A</v>
      </c>
      <c r="AS65" s="89" t="e">
        <f t="shared" si="12"/>
        <v>#N/A</v>
      </c>
      <c r="AT65" s="89">
        <v>0</v>
      </c>
      <c r="AU65" s="89">
        <f t="shared" si="13"/>
        <v>0</v>
      </c>
      <c r="AV65" s="89" t="e">
        <f t="shared" si="14"/>
        <v>#N/A</v>
      </c>
      <c r="AW65" s="87"/>
      <c r="AX65" s="90">
        <f>IFERROR(IF(F65="正常工资薪金",VLOOKUP(D65&amp;"*",个税上月累计情况!E:AL,26,0),0),0)</f>
        <v>17548.55</v>
      </c>
      <c r="AY65" s="90">
        <f>IFERROR(IF(F65="正常工资薪金",VLOOKUP(D65&amp;"*",个税上月累计情况!E:AL,27,0),0),0)</f>
        <v>20000</v>
      </c>
      <c r="AZ65" s="90">
        <f>IFERROR(IF(F65="正常工资薪金",VLOOKUP(D65&amp;"*",个税上月累计情况!E:AL,28,0),0),0)</f>
        <v>2076.96</v>
      </c>
      <c r="BA65" s="90">
        <f>IFERROR(IF(F65="正常工资薪金",VLOOKUP(D65&amp;"*",个税上月累计情况!E:AL,29,0),0),0)</f>
        <v>0</v>
      </c>
      <c r="BB65" s="90">
        <f>IFERROR(IF(F65="正常工资薪金",VLOOKUP(D65&amp;"*",个税上月累计情况!E:AL,30,0),0),0)</f>
        <v>0</v>
      </c>
      <c r="BC65" s="90">
        <f>IFERROR(IF(F65="正常工资薪金",VLOOKUP(D65&amp;"*",个税上月累计情况!E:AL,31,0),0),0)</f>
        <v>0</v>
      </c>
      <c r="BD65" s="90">
        <f>IFERROR(IF(F65="正常工资薪金",VLOOKUP(D65&amp;"*",个税上月累计情况!E:AL,32,0),0),0)</f>
        <v>0</v>
      </c>
      <c r="BE65" s="90">
        <f>IFERROR(IF(F65="正常工资薪金",VLOOKUP(D65&amp;"*",个税上月累计情况!E:AL,33,0),0),0)</f>
        <v>0</v>
      </c>
      <c r="BF65" s="90">
        <f>IFERROR(IF(F65="正常工资薪金",VLOOKUP(D65&amp;"*",个税上月累计情况!E:AL,34,0),0),0)</f>
        <v>0</v>
      </c>
      <c r="BG65" s="90">
        <f>IFERROR(IF(F65="正常工资薪金",VLOOKUP(D65&amp;"*",个税上月累计情况!E:AN,35,0),0),0)</f>
        <v>0</v>
      </c>
      <c r="BH65" s="90">
        <f>IFERROR(IF(F65="正常工资薪金",VLOOKUP(D65&amp;"*",个税上月累计情况!E:AN,36,0),0),0)</f>
        <v>0</v>
      </c>
      <c r="BI65" s="90">
        <f>IFERROR(IF(F65="正常工资薪金",VLOOKUP(D65&amp;"*",个税上月累计情况!D:AW,46,0),0),0)</f>
        <v>0</v>
      </c>
      <c r="BJ65" s="90">
        <f>IFERROR(IF(F65="正常工资薪金",VLOOKUP(D65&amp;"*",个税上月累计情况!D:AX,47,0),0),0)</f>
        <v>0</v>
      </c>
      <c r="BK65" t="e">
        <f>VLOOKUP(B65,花名册!C:N,12,0)</f>
        <v>#N/A</v>
      </c>
    </row>
    <row r="66" ht="19.5" hidden="1" spans="1:63">
      <c r="A66" s="87"/>
      <c r="B66" s="87" t="s">
        <v>395</v>
      </c>
      <c r="C66" s="87" t="s">
        <v>268</v>
      </c>
      <c r="D66" s="87" t="s">
        <v>396</v>
      </c>
      <c r="E66" s="87" t="s">
        <v>270</v>
      </c>
      <c r="F66" s="87" t="s">
        <v>271</v>
      </c>
      <c r="G66" s="89" t="e" cm="1">
        <f t="array" ref="G66">_xlfn.IFS(F66="正常工资薪金",VLOOKUP(D66&amp;"*",工资表明细!D:BL,61,0),F66="一般劳务报酬所得",VLOOKUP(D66&amp;"*",工资表明细!D:BJ,59,0),F66="全年一次性奖金收入",VLOOKUP(D66&amp;"*",工资表明细!D:BI,58,0),F66="解除劳动合同一次性补偿金",VLOOKUP(D66&amp;"*",工资表明细!D:BH,57,0))</f>
        <v>#N/A</v>
      </c>
      <c r="H66" s="89">
        <f t="shared" si="0"/>
        <v>0</v>
      </c>
      <c r="I66" s="89">
        <v>0</v>
      </c>
      <c r="J66" s="89">
        <f t="shared" si="1"/>
        <v>5000</v>
      </c>
      <c r="K66" s="89" t="e">
        <f>IF(F66="正常工资薪金",VLOOKUP(D66&amp;"*",工资表明细!D:AP,39,0),0)</f>
        <v>#N/A</v>
      </c>
      <c r="L66" s="89" t="e">
        <f>IF(F66="正常工资薪金",VLOOKUP(D66&amp;"*",工资表明细!D:AQ,40,0),0)</f>
        <v>#N/A</v>
      </c>
      <c r="M66" s="89" t="e">
        <f>IF(F66="正常工资薪金",VLOOKUP(D66&amp;"*",工资表明细!D:AR,41,0),0)</f>
        <v>#N/A</v>
      </c>
      <c r="N66" s="89" t="e">
        <f>IF(F66="正常工资薪金",VLOOKUP(D66&amp;"*",工资表明细!D:AT,43,0),0)</f>
        <v>#N/A</v>
      </c>
      <c r="O66" s="89">
        <v>61</v>
      </c>
      <c r="P66" s="89">
        <v>61</v>
      </c>
      <c r="Q66" s="89">
        <v>61</v>
      </c>
      <c r="R66" s="89">
        <v>61</v>
      </c>
      <c r="S66" s="89">
        <v>61</v>
      </c>
      <c r="T66" s="89">
        <v>61</v>
      </c>
      <c r="U66" s="89">
        <v>61</v>
      </c>
      <c r="V66" s="89">
        <v>61</v>
      </c>
      <c r="W66" s="87" t="s">
        <v>272</v>
      </c>
      <c r="X66" s="89">
        <v>61</v>
      </c>
      <c r="Y66" s="87" t="s">
        <v>272</v>
      </c>
      <c r="Z66" s="87" t="s">
        <v>272</v>
      </c>
      <c r="AA66" s="87" t="s">
        <v>272</v>
      </c>
      <c r="AB66" s="89">
        <v>61</v>
      </c>
      <c r="AC66" s="89" t="e">
        <f t="shared" si="2"/>
        <v>#N/A</v>
      </c>
      <c r="AD66" s="89">
        <f t="shared" si="3"/>
        <v>20000</v>
      </c>
      <c r="AE66" s="89" t="e">
        <f t="shared" si="4"/>
        <v>#N/A</v>
      </c>
      <c r="AF66" s="89">
        <f t="shared" si="5"/>
        <v>0</v>
      </c>
      <c r="AG66" s="89">
        <f t="shared" si="6"/>
        <v>0</v>
      </c>
      <c r="AH66" s="89">
        <f t="shared" si="7"/>
        <v>0</v>
      </c>
      <c r="AI66" s="89">
        <f t="shared" si="8"/>
        <v>0</v>
      </c>
      <c r="AJ66" s="89">
        <f t="shared" si="9"/>
        <v>0</v>
      </c>
      <c r="AK66" s="89">
        <f t="shared" si="10"/>
        <v>0</v>
      </c>
      <c r="AL66" s="89">
        <v>0</v>
      </c>
      <c r="AM66" s="89">
        <v>0</v>
      </c>
      <c r="AN66" s="87" t="s">
        <v>273</v>
      </c>
      <c r="AO66" s="89">
        <v>0</v>
      </c>
      <c r="AP66" s="89" t="e">
        <f t="shared" si="11"/>
        <v>#N/A</v>
      </c>
      <c r="AQ66" s="89" t="e" cm="1">
        <f t="array" ref="AQ66">_xlfn.IFS(F66="正常工资薪金",VLOOKUP(AP66,{0,0.03;36000,0.1;144000,0.2;300000,0.25;420000,0.3;660000,0.35;960000,0.45},2,1),F66="一般劳务报酬所得",IF(AP66&lt;=20000,0.2,IF(AP66&lt;=50000,0.3,0.4)),F66="全年一次性奖金收入",VLOOKUP(AP66/12,{0,0.03;3000,0.1;12000,0.2;25000,0.25;35000,0.3;55000,0.35;80000,0.45},2,1),F66="解除劳动合同一次性补偿金",VLOOKUP(AP66,{0,0.03;36000,0.1;144000,0.2;300000,0.25;420000,0.3;660000,0.35;960000,0.45},2,1))</f>
        <v>#N/A</v>
      </c>
      <c r="AR66" s="89" t="e" cm="1">
        <f t="array" ref="AR66">_xlfn.IFS(F66="正常工资薪金",VLOOKUP(AP66,{0,0;36000,2520;144000,16920;300000,31920;420000,52920;660000,85920;960000,181920},2,1),F66="一般劳务报酬所得",IF(AP66&lt;=20000,0,IF(AS&lt;=50000,2000,7000)),F66="全年一次性奖金收入",VLOOKUP(AP66/12,{0,0;3000,210;12000,1410;25000,2660;35000,4410;55000,7160;80000,15160},2,1),F66="解除劳动合同一次性补偿金",VLOOKUP(AP66,{0,0;36000,2520;144000,16920;300000,31920;420000,52920;660000,85920;960000,181920},2,1))</f>
        <v>#N/A</v>
      </c>
      <c r="AS66" s="89" t="e">
        <f t="shared" si="12"/>
        <v>#N/A</v>
      </c>
      <c r="AT66" s="89">
        <v>0</v>
      </c>
      <c r="AU66" s="89">
        <f t="shared" si="13"/>
        <v>566.23</v>
      </c>
      <c r="AV66" s="89" t="e">
        <f t="shared" si="14"/>
        <v>#N/A</v>
      </c>
      <c r="AW66" s="87"/>
      <c r="AX66" s="90">
        <f>IFERROR(IF(F66="正常工资薪金",VLOOKUP(D66&amp;"*",个税上月累计情况!E:AL,26,0),0),0)</f>
        <v>38179.52</v>
      </c>
      <c r="AY66" s="90">
        <f>IFERROR(IF(F66="正常工资薪金",VLOOKUP(D66&amp;"*",个税上月累计情况!E:AL,27,0),0),0)</f>
        <v>15000</v>
      </c>
      <c r="AZ66" s="90">
        <f>IFERROR(IF(F66="正常工资薪金",VLOOKUP(D66&amp;"*",个税上月累计情况!E:AL,28,0),0),0)</f>
        <v>4305.03</v>
      </c>
      <c r="BA66" s="90">
        <f>IFERROR(IF(F66="正常工资薪金",VLOOKUP(D66&amp;"*",个税上月累计情况!E:AL,29,0),0),0)</f>
        <v>0</v>
      </c>
      <c r="BB66" s="90">
        <f>IFERROR(IF(F66="正常工资薪金",VLOOKUP(D66&amp;"*",个税上月累计情况!E:AL,30,0),0),0)</f>
        <v>0</v>
      </c>
      <c r="BC66" s="90">
        <f>IFERROR(IF(F66="正常工资薪金",VLOOKUP(D66&amp;"*",个税上月累计情况!E:AL,31,0),0),0)</f>
        <v>0</v>
      </c>
      <c r="BD66" s="90">
        <f>IFERROR(IF(F66="正常工资薪金",VLOOKUP(D66&amp;"*",个税上月累计情况!E:AL,32,0),0),0)</f>
        <v>0</v>
      </c>
      <c r="BE66" s="90">
        <f>IFERROR(IF(F66="正常工资薪金",VLOOKUP(D66&amp;"*",个税上月累计情况!E:AL,33,0),0),0)</f>
        <v>0</v>
      </c>
      <c r="BF66" s="90">
        <f>IFERROR(IF(F66="正常工资薪金",VLOOKUP(D66&amp;"*",个税上月累计情况!E:AL,34,0),0),0)</f>
        <v>0</v>
      </c>
      <c r="BG66" s="90">
        <f>IFERROR(IF(F66="正常工资薪金",VLOOKUP(D66&amp;"*",个税上月累计情况!E:AN,35,0),0),0)</f>
        <v>0</v>
      </c>
      <c r="BH66" s="90">
        <f>IFERROR(IF(F66="正常工资薪金",VLOOKUP(D66&amp;"*",个税上月累计情况!E:AN,36,0),0),0)</f>
        <v>0</v>
      </c>
      <c r="BI66" s="90">
        <f>IFERROR(IF(F66="正常工资薪金",VLOOKUP(D66&amp;"*",个税上月累计情况!D:AW,46,0),0),0)</f>
        <v>352.19</v>
      </c>
      <c r="BJ66" s="90">
        <f>IFERROR(IF(F66="正常工资薪金",VLOOKUP(D66&amp;"*",个税上月累计情况!D:AX,47,0),0),0)</f>
        <v>214.04</v>
      </c>
      <c r="BK66" t="e">
        <f>VLOOKUP(B66,花名册!C:N,12,0)</f>
        <v>#N/A</v>
      </c>
    </row>
    <row r="67" ht="19.5" hidden="1" spans="1:63">
      <c r="A67" s="87"/>
      <c r="B67" s="87" t="s">
        <v>397</v>
      </c>
      <c r="C67" s="87" t="s">
        <v>268</v>
      </c>
      <c r="D67" s="87" t="s">
        <v>398</v>
      </c>
      <c r="E67" s="87" t="s">
        <v>270</v>
      </c>
      <c r="F67" s="87" t="s">
        <v>271</v>
      </c>
      <c r="G67" s="89" t="e" cm="1">
        <f t="array" ref="G67">_xlfn.IFS(F67="正常工资薪金",VLOOKUP(D67&amp;"*",工资表明细!D:BL,61,0),F67="一般劳务报酬所得",VLOOKUP(D67&amp;"*",工资表明细!D:BJ,59,0),F67="全年一次性奖金收入",VLOOKUP(D67&amp;"*",工资表明细!D:BI,58,0),F67="解除劳动合同一次性补偿金",VLOOKUP(D67&amp;"*",工资表明细!D:BH,57,0))</f>
        <v>#N/A</v>
      </c>
      <c r="H67" s="89">
        <f t="shared" si="0"/>
        <v>0</v>
      </c>
      <c r="I67" s="89">
        <v>0</v>
      </c>
      <c r="J67" s="89">
        <f t="shared" si="1"/>
        <v>5000</v>
      </c>
      <c r="K67" s="89" t="e">
        <f>IF(F67="正常工资薪金",VLOOKUP(D67&amp;"*",工资表明细!D:AP,39,0),0)</f>
        <v>#N/A</v>
      </c>
      <c r="L67" s="89" t="e">
        <f>IF(F67="正常工资薪金",VLOOKUP(D67&amp;"*",工资表明细!D:AQ,40,0),0)</f>
        <v>#N/A</v>
      </c>
      <c r="M67" s="89" t="e">
        <f>IF(F67="正常工资薪金",VLOOKUP(D67&amp;"*",工资表明细!D:AR,41,0),0)</f>
        <v>#N/A</v>
      </c>
      <c r="N67" s="89" t="e">
        <f>IF(F67="正常工资薪金",VLOOKUP(D67&amp;"*",工资表明细!D:AT,43,0),0)</f>
        <v>#N/A</v>
      </c>
      <c r="O67" s="89">
        <v>62</v>
      </c>
      <c r="P67" s="89">
        <v>62</v>
      </c>
      <c r="Q67" s="89">
        <v>62</v>
      </c>
      <c r="R67" s="89">
        <v>62</v>
      </c>
      <c r="S67" s="89">
        <v>62</v>
      </c>
      <c r="T67" s="89">
        <v>62</v>
      </c>
      <c r="U67" s="89">
        <v>62</v>
      </c>
      <c r="V67" s="89">
        <v>62</v>
      </c>
      <c r="W67" s="87" t="s">
        <v>272</v>
      </c>
      <c r="X67" s="89">
        <v>62</v>
      </c>
      <c r="Y67" s="87" t="s">
        <v>272</v>
      </c>
      <c r="Z67" s="87" t="s">
        <v>272</v>
      </c>
      <c r="AA67" s="87" t="s">
        <v>272</v>
      </c>
      <c r="AB67" s="89">
        <v>62</v>
      </c>
      <c r="AC67" s="89" t="e">
        <f t="shared" si="2"/>
        <v>#N/A</v>
      </c>
      <c r="AD67" s="89">
        <f t="shared" si="3"/>
        <v>20000</v>
      </c>
      <c r="AE67" s="89" t="e">
        <f t="shared" si="4"/>
        <v>#N/A</v>
      </c>
      <c r="AF67" s="89">
        <f t="shared" si="5"/>
        <v>0</v>
      </c>
      <c r="AG67" s="89">
        <f t="shared" si="6"/>
        <v>0</v>
      </c>
      <c r="AH67" s="89">
        <f t="shared" si="7"/>
        <v>0</v>
      </c>
      <c r="AI67" s="89">
        <f t="shared" si="8"/>
        <v>0</v>
      </c>
      <c r="AJ67" s="89">
        <f t="shared" si="9"/>
        <v>0</v>
      </c>
      <c r="AK67" s="89">
        <f t="shared" si="10"/>
        <v>0</v>
      </c>
      <c r="AL67" s="89">
        <v>0</v>
      </c>
      <c r="AM67" s="89">
        <v>0</v>
      </c>
      <c r="AN67" s="87" t="s">
        <v>273</v>
      </c>
      <c r="AO67" s="89">
        <v>0</v>
      </c>
      <c r="AP67" s="89" t="e">
        <f t="shared" si="11"/>
        <v>#N/A</v>
      </c>
      <c r="AQ67" s="89" t="e" cm="1">
        <f t="array" ref="AQ67">_xlfn.IFS(F67="正常工资薪金",VLOOKUP(AP67,{0,0.03;36000,0.1;144000,0.2;300000,0.25;420000,0.3;660000,0.35;960000,0.45},2,1),F67="一般劳务报酬所得",IF(AP67&lt;=20000,0.2,IF(AP67&lt;=50000,0.3,0.4)),F67="全年一次性奖金收入",VLOOKUP(AP67/12,{0,0.03;3000,0.1;12000,0.2;25000,0.25;35000,0.3;55000,0.35;80000,0.45},2,1),F67="解除劳动合同一次性补偿金",VLOOKUP(AP67,{0,0.03;36000,0.1;144000,0.2;300000,0.25;420000,0.3;660000,0.35;960000,0.45},2,1))</f>
        <v>#N/A</v>
      </c>
      <c r="AR67" s="89" t="e" cm="1">
        <f t="array" ref="AR67">_xlfn.IFS(F67="正常工资薪金",VLOOKUP(AP67,{0,0;36000,2520;144000,16920;300000,31920;420000,52920;660000,85920;960000,181920},2,1),F67="一般劳务报酬所得",IF(AP67&lt;=20000,0,IF(AS&lt;=50000,2000,7000)),F67="全年一次性奖金收入",VLOOKUP(AP67/12,{0,0;3000,210;12000,1410;25000,2660;35000,4410;55000,7160;80000,15160},2,1),F67="解除劳动合同一次性补偿金",VLOOKUP(AP67,{0,0;36000,2520;144000,16920;300000,31920;420000,52920;660000,85920;960000,181920},2,1))</f>
        <v>#N/A</v>
      </c>
      <c r="AS67" s="89" t="e">
        <f t="shared" si="12"/>
        <v>#N/A</v>
      </c>
      <c r="AT67" s="89">
        <v>0</v>
      </c>
      <c r="AU67" s="89">
        <f t="shared" si="13"/>
        <v>108.91</v>
      </c>
      <c r="AV67" s="89" t="e">
        <f t="shared" si="14"/>
        <v>#N/A</v>
      </c>
      <c r="AW67" s="87"/>
      <c r="AX67" s="90">
        <f>IFERROR(IF(F67="正常工资薪金",VLOOKUP(D67&amp;"*",个税上月累计情况!E:AL,26,0),0),0)</f>
        <v>22095.24</v>
      </c>
      <c r="AY67" s="90">
        <f>IFERROR(IF(F67="正常工资薪金",VLOOKUP(D67&amp;"*",个税上月累计情况!E:AL,27,0),0),0)</f>
        <v>15000</v>
      </c>
      <c r="AZ67" s="90">
        <f>IFERROR(IF(F67="正常工资薪金",VLOOKUP(D67&amp;"*",个税上月累计情况!E:AL,28,0),0),0)</f>
        <v>3465.03</v>
      </c>
      <c r="BA67" s="90">
        <f>IFERROR(IF(F67="正常工资薪金",VLOOKUP(D67&amp;"*",个税上月累计情况!E:AL,29,0),0),0)</f>
        <v>0</v>
      </c>
      <c r="BB67" s="90">
        <f>IFERROR(IF(F67="正常工资薪金",VLOOKUP(D67&amp;"*",个税上月累计情况!E:AL,30,0),0),0)</f>
        <v>0</v>
      </c>
      <c r="BC67" s="90">
        <f>IFERROR(IF(F67="正常工资薪金",VLOOKUP(D67&amp;"*",个税上月累计情况!E:AL,31,0),0),0)</f>
        <v>0</v>
      </c>
      <c r="BD67" s="90">
        <f>IFERROR(IF(F67="正常工资薪金",VLOOKUP(D67&amp;"*",个税上月累计情况!E:AL,32,0),0),0)</f>
        <v>0</v>
      </c>
      <c r="BE67" s="90">
        <f>IFERROR(IF(F67="正常工资薪金",VLOOKUP(D67&amp;"*",个税上月累计情况!E:AL,33,0),0),0)</f>
        <v>0</v>
      </c>
      <c r="BF67" s="90">
        <f>IFERROR(IF(F67="正常工资薪金",VLOOKUP(D67&amp;"*",个税上月累计情况!E:AL,34,0),0),0)</f>
        <v>0</v>
      </c>
      <c r="BG67" s="90">
        <f>IFERROR(IF(F67="正常工资薪金",VLOOKUP(D67&amp;"*",个税上月累计情况!E:AN,35,0),0),0)</f>
        <v>0</v>
      </c>
      <c r="BH67" s="90">
        <f>IFERROR(IF(F67="正常工资薪金",VLOOKUP(D67&amp;"*",个税上月累计情况!E:AN,36,0),0),0)</f>
        <v>0</v>
      </c>
      <c r="BI67" s="90">
        <f>IFERROR(IF(F67="正常工资薪金",VLOOKUP(D67&amp;"*",个税上月累计情况!D:AW,46,0),0),0)</f>
        <v>53.56</v>
      </c>
      <c r="BJ67" s="90">
        <f>IFERROR(IF(F67="正常工资薪金",VLOOKUP(D67&amp;"*",个税上月累计情况!D:AX,47,0),0),0)</f>
        <v>55.35</v>
      </c>
      <c r="BK67" t="e">
        <f>VLOOKUP(B67,花名册!C:N,12,0)</f>
        <v>#N/A</v>
      </c>
    </row>
    <row r="68" ht="19.5" hidden="1" spans="1:63">
      <c r="A68" s="87"/>
      <c r="B68" s="87" t="s">
        <v>399</v>
      </c>
      <c r="C68" s="87" t="s">
        <v>268</v>
      </c>
      <c r="D68" s="87" t="s">
        <v>400</v>
      </c>
      <c r="E68" s="87" t="s">
        <v>270</v>
      </c>
      <c r="F68" s="87" t="s">
        <v>271</v>
      </c>
      <c r="G68" s="89" t="e" cm="1">
        <f t="array" ref="G68">_xlfn.IFS(F68="正常工资薪金",VLOOKUP(D68&amp;"*",工资表明细!D:BL,61,0),F68="一般劳务报酬所得",VLOOKUP(D68&amp;"*",工资表明细!D:BJ,59,0),F68="全年一次性奖金收入",VLOOKUP(D68&amp;"*",工资表明细!D:BI,58,0),F68="解除劳动合同一次性补偿金",VLOOKUP(D68&amp;"*",工资表明细!D:BH,57,0))</f>
        <v>#N/A</v>
      </c>
      <c r="H68" s="89">
        <f t="shared" si="0"/>
        <v>0</v>
      </c>
      <c r="I68" s="89">
        <v>0</v>
      </c>
      <c r="J68" s="89">
        <f t="shared" si="1"/>
        <v>5000</v>
      </c>
      <c r="K68" s="89" t="e">
        <f>IF(F68="正常工资薪金",VLOOKUP(D68&amp;"*",工资表明细!D:AP,39,0),0)</f>
        <v>#N/A</v>
      </c>
      <c r="L68" s="89" t="e">
        <f>IF(F68="正常工资薪金",VLOOKUP(D68&amp;"*",工资表明细!D:AQ,40,0),0)</f>
        <v>#N/A</v>
      </c>
      <c r="M68" s="89" t="e">
        <f>IF(F68="正常工资薪金",VLOOKUP(D68&amp;"*",工资表明细!D:AR,41,0),0)</f>
        <v>#N/A</v>
      </c>
      <c r="N68" s="89" t="e">
        <f>IF(F68="正常工资薪金",VLOOKUP(D68&amp;"*",工资表明细!D:AT,43,0),0)</f>
        <v>#N/A</v>
      </c>
      <c r="O68" s="89">
        <v>63</v>
      </c>
      <c r="P68" s="89">
        <v>63</v>
      </c>
      <c r="Q68" s="89">
        <v>63</v>
      </c>
      <c r="R68" s="89">
        <v>63</v>
      </c>
      <c r="S68" s="89">
        <v>63</v>
      </c>
      <c r="T68" s="89">
        <v>63</v>
      </c>
      <c r="U68" s="89">
        <v>63</v>
      </c>
      <c r="V68" s="89">
        <v>63</v>
      </c>
      <c r="W68" s="87" t="s">
        <v>272</v>
      </c>
      <c r="X68" s="89">
        <v>63</v>
      </c>
      <c r="Y68" s="87" t="s">
        <v>272</v>
      </c>
      <c r="Z68" s="87" t="s">
        <v>272</v>
      </c>
      <c r="AA68" s="87" t="s">
        <v>272</v>
      </c>
      <c r="AB68" s="89">
        <v>63</v>
      </c>
      <c r="AC68" s="89" t="e">
        <f t="shared" si="2"/>
        <v>#N/A</v>
      </c>
      <c r="AD68" s="89">
        <f t="shared" si="3"/>
        <v>20000</v>
      </c>
      <c r="AE68" s="89" t="e">
        <f t="shared" si="4"/>
        <v>#N/A</v>
      </c>
      <c r="AF68" s="89">
        <f t="shared" si="5"/>
        <v>0</v>
      </c>
      <c r="AG68" s="89">
        <f t="shared" si="6"/>
        <v>0</v>
      </c>
      <c r="AH68" s="89">
        <f t="shared" si="7"/>
        <v>0</v>
      </c>
      <c r="AI68" s="89">
        <f t="shared" si="8"/>
        <v>0</v>
      </c>
      <c r="AJ68" s="89">
        <f t="shared" si="9"/>
        <v>0</v>
      </c>
      <c r="AK68" s="89">
        <f t="shared" si="10"/>
        <v>0</v>
      </c>
      <c r="AL68" s="89">
        <v>0</v>
      </c>
      <c r="AM68" s="89">
        <v>0</v>
      </c>
      <c r="AN68" s="87" t="s">
        <v>273</v>
      </c>
      <c r="AO68" s="89">
        <v>0</v>
      </c>
      <c r="AP68" s="89" t="e">
        <f t="shared" si="11"/>
        <v>#N/A</v>
      </c>
      <c r="AQ68" s="89" t="e" cm="1">
        <f t="array" ref="AQ68">_xlfn.IFS(F68="正常工资薪金",VLOOKUP(AP68,{0,0.03;36000,0.1;144000,0.2;300000,0.25;420000,0.3;660000,0.35;960000,0.45},2,1),F68="一般劳务报酬所得",IF(AP68&lt;=20000,0.2,IF(AP68&lt;=50000,0.3,0.4)),F68="全年一次性奖金收入",VLOOKUP(AP68/12,{0,0.03;3000,0.1;12000,0.2;25000,0.25;35000,0.3;55000,0.35;80000,0.45},2,1),F68="解除劳动合同一次性补偿金",VLOOKUP(AP68,{0,0.03;36000,0.1;144000,0.2;300000,0.25;420000,0.3;660000,0.35;960000,0.45},2,1))</f>
        <v>#N/A</v>
      </c>
      <c r="AR68" s="89" t="e" cm="1">
        <f t="array" ref="AR68">_xlfn.IFS(F68="正常工资薪金",VLOOKUP(AP68,{0,0;36000,2520;144000,16920;300000,31920;420000,52920;660000,85920;960000,181920},2,1),F68="一般劳务报酬所得",IF(AP68&lt;=20000,0,IF(AS&lt;=50000,2000,7000)),F68="全年一次性奖金收入",VLOOKUP(AP68/12,{0,0;3000,210;12000,1410;25000,2660;35000,4410;55000,7160;80000,15160},2,1),F68="解除劳动合同一次性补偿金",VLOOKUP(AP68,{0,0;36000,2520;144000,16920;300000,31920;420000,52920;660000,85920;960000,181920},2,1))</f>
        <v>#N/A</v>
      </c>
      <c r="AS68" s="89" t="e">
        <f t="shared" si="12"/>
        <v>#N/A</v>
      </c>
      <c r="AT68" s="89">
        <v>0</v>
      </c>
      <c r="AU68" s="89">
        <f t="shared" si="13"/>
        <v>923.82</v>
      </c>
      <c r="AV68" s="89" t="e">
        <f t="shared" si="14"/>
        <v>#N/A</v>
      </c>
      <c r="AW68" s="87"/>
      <c r="AX68" s="90">
        <f>IFERROR(IF(F68="正常工资薪金",VLOOKUP(D68&amp;"*",个税上月累计情况!E:AL,26,0),0),0)</f>
        <v>50819.05</v>
      </c>
      <c r="AY68" s="90">
        <f>IFERROR(IF(F68="正常工资薪金",VLOOKUP(D68&amp;"*",个税上月累计情况!E:AL,27,0),0),0)</f>
        <v>15000</v>
      </c>
      <c r="AZ68" s="90">
        <f>IFERROR(IF(F68="正常工资薪金",VLOOKUP(D68&amp;"*",个税上月累计情况!E:AL,28,0),0),0)</f>
        <v>5025.03</v>
      </c>
      <c r="BA68" s="90">
        <f>IFERROR(IF(F68="正常工资薪金",VLOOKUP(D68&amp;"*",个税上月累计情况!E:AL,29,0),0),0)</f>
        <v>0</v>
      </c>
      <c r="BB68" s="90">
        <f>IFERROR(IF(F68="正常工资薪金",VLOOKUP(D68&amp;"*",个税上月累计情况!E:AL,30,0),0),0)</f>
        <v>0</v>
      </c>
      <c r="BC68" s="90">
        <f>IFERROR(IF(F68="正常工资薪金",VLOOKUP(D68&amp;"*",个税上月累计情况!E:AL,31,0),0),0)</f>
        <v>0</v>
      </c>
      <c r="BD68" s="90">
        <f>IFERROR(IF(F68="正常工资薪金",VLOOKUP(D68&amp;"*",个税上月累计情况!E:AL,32,0),0),0)</f>
        <v>0</v>
      </c>
      <c r="BE68" s="90">
        <f>IFERROR(IF(F68="正常工资薪金",VLOOKUP(D68&amp;"*",个税上月累计情况!E:AL,33,0),0),0)</f>
        <v>0</v>
      </c>
      <c r="BF68" s="90">
        <f>IFERROR(IF(F68="正常工资薪金",VLOOKUP(D68&amp;"*",个税上月累计情况!E:AL,34,0),0),0)</f>
        <v>0</v>
      </c>
      <c r="BG68" s="90">
        <f>IFERROR(IF(F68="正常工资薪金",VLOOKUP(D68&amp;"*",个税上月累计情况!E:AN,35,0),0),0)</f>
        <v>0</v>
      </c>
      <c r="BH68" s="90">
        <f>IFERROR(IF(F68="正常工资薪金",VLOOKUP(D68&amp;"*",个税上月累计情况!E:AN,36,0),0),0)</f>
        <v>0</v>
      </c>
      <c r="BI68" s="90">
        <f>IFERROR(IF(F68="正常工资薪金",VLOOKUP(D68&amp;"*",个税上月累计情况!D:AW,46,0),0),0)</f>
        <v>572.07</v>
      </c>
      <c r="BJ68" s="90">
        <f>IFERROR(IF(F68="正常工资薪金",VLOOKUP(D68&amp;"*",个税上月累计情况!D:AX,47,0),0),0)</f>
        <v>351.75</v>
      </c>
      <c r="BK68" t="e">
        <f>VLOOKUP(B68,花名册!C:N,12,0)</f>
        <v>#N/A</v>
      </c>
    </row>
    <row r="69" ht="19.5" hidden="1" spans="1:63">
      <c r="A69" s="87"/>
      <c r="B69" s="87" t="s">
        <v>401</v>
      </c>
      <c r="C69" s="87" t="s">
        <v>268</v>
      </c>
      <c r="D69" s="87" t="s">
        <v>402</v>
      </c>
      <c r="E69" s="87" t="s">
        <v>270</v>
      </c>
      <c r="F69" s="87" t="s">
        <v>271</v>
      </c>
      <c r="G69" s="89" t="e" cm="1">
        <f t="array" ref="G69">_xlfn.IFS(F69="正常工资薪金",VLOOKUP(D69&amp;"*",工资表明细!D:BL,61,0),F69="一般劳务报酬所得",VLOOKUP(D69&amp;"*",工资表明细!D:BJ,59,0),F69="全年一次性奖金收入",VLOOKUP(D69&amp;"*",工资表明细!D:BI,58,0),F69="解除劳动合同一次性补偿金",VLOOKUP(D69&amp;"*",工资表明细!D:BH,57,0))</f>
        <v>#N/A</v>
      </c>
      <c r="H69" s="89">
        <f t="shared" ref="H69:H78" si="15">IF(F69="一般劳务报酬所得",800,0)</f>
        <v>0</v>
      </c>
      <c r="I69" s="89">
        <v>0</v>
      </c>
      <c r="J69" s="89">
        <f t="shared" ref="J69:J78" si="16">IF(F69="正常工资薪金",5000,0)</f>
        <v>5000</v>
      </c>
      <c r="K69" s="89" t="e">
        <f>IF(F69="正常工资薪金",VLOOKUP(D69&amp;"*",工资表明细!D:AP,39,0),0)</f>
        <v>#N/A</v>
      </c>
      <c r="L69" s="89" t="e">
        <f>IF(F69="正常工资薪金",VLOOKUP(D69&amp;"*",工资表明细!D:AQ,40,0),0)</f>
        <v>#N/A</v>
      </c>
      <c r="M69" s="89" t="e">
        <f>IF(F69="正常工资薪金",VLOOKUP(D69&amp;"*",工资表明细!D:AR,41,0),0)</f>
        <v>#N/A</v>
      </c>
      <c r="N69" s="89" t="e">
        <f>IF(F69="正常工资薪金",VLOOKUP(D69&amp;"*",工资表明细!D:AT,43,0),0)</f>
        <v>#N/A</v>
      </c>
      <c r="O69" s="89">
        <v>64</v>
      </c>
      <c r="P69" s="89">
        <v>64</v>
      </c>
      <c r="Q69" s="89">
        <v>64</v>
      </c>
      <c r="R69" s="89">
        <v>64</v>
      </c>
      <c r="S69" s="89">
        <v>64</v>
      </c>
      <c r="T69" s="89">
        <v>64</v>
      </c>
      <c r="U69" s="89">
        <v>64</v>
      </c>
      <c r="V69" s="89">
        <v>64</v>
      </c>
      <c r="W69" s="87" t="s">
        <v>272</v>
      </c>
      <c r="X69" s="89">
        <v>64</v>
      </c>
      <c r="Y69" s="87" t="s">
        <v>272</v>
      </c>
      <c r="Z69" s="87" t="s">
        <v>272</v>
      </c>
      <c r="AA69" s="87" t="s">
        <v>272</v>
      </c>
      <c r="AB69" s="89">
        <v>64</v>
      </c>
      <c r="AC69" s="89" t="e">
        <f t="shared" ref="AC69:AC78" si="17">IF(F69="正常工资薪金",G69+AX69,"-")</f>
        <v>#N/A</v>
      </c>
      <c r="AD69" s="89">
        <f t="shared" ref="AD69:AD78" si="18">IF(F69="正常工资薪金",J69+AY69,"-")</f>
        <v>20000</v>
      </c>
      <c r="AE69" s="89" t="e">
        <f t="shared" ref="AE69:AE78" si="19">IF(F69="正常工资薪金",K69+L69+M69+N69+AZ69,"-")</f>
        <v>#N/A</v>
      </c>
      <c r="AF69" s="89">
        <f t="shared" ref="AF69:AF78" si="20">IFERROR(IF($F$5="正常工资薪金",IF(YEAR(BK69)&lt;YEAR($BK$1),BA69/($D$1-1)*$D$1,BA69/DATEDIF(BK69,$BK$1,"M")*DATEDIF(BK69,$BK$1,"M")),"-"),0)</f>
        <v>0</v>
      </c>
      <c r="AG69" s="89">
        <f t="shared" ref="AG69:AG78" si="21">IFERROR(IF($F$5="正常工资薪金",IF(YEAR(BK69)&lt;YEAR($BK$1),BB69/($D$1-1)*$D$1,BB69/DATEDIF(BK69,$BK$1,"M")*DATEDIF(BK69,$BK$1,"M")),"-"),0)</f>
        <v>0</v>
      </c>
      <c r="AH69" s="89">
        <f t="shared" ref="AH69:AH78" si="22">IFERROR(IF($F$5="正常工资薪金",IF(YEAR(BK69)&lt;YEAR($BK$1),BC69/($D$1-1)*$D$1,BC69/(MONTH($BK$1)-MONTH(BK69))*(MONTH($BK$1)-MONTH(BK69)+1)),"-"),0)</f>
        <v>0</v>
      </c>
      <c r="AI69" s="89">
        <f t="shared" ref="AI69:AI78" si="23">IFERROR(IF($F$5="正常工资薪金",IF(YEAR(BK69)&lt;YEAR($BK$1),BD69/($D$1-1)*$D$1,BD69/(MONTH($BK$1)-MONTH(BK69))*(MONTH($BK$1)-MONTH(BK69)+1)),"-"),0)</f>
        <v>0</v>
      </c>
      <c r="AJ69" s="89">
        <f t="shared" ref="AJ69:AJ78" si="24">IFERROR(IF($F$5="正常工资薪金",IF(YEAR(BK69)&lt;YEAR($BK$1),BE69/($D$1-1)*$D$1,BE69/(MONTH($BK$1)-MONTH(BK69))*(MONTH($BK$1)-MONTH(BK69)+1)),"-"),0)</f>
        <v>0</v>
      </c>
      <c r="AK69" s="89">
        <f t="shared" ref="AK69:AK78" si="25">IFERROR(IF($F$5="正常工资薪金",IF(YEAR(BK69)&lt;YEAR($BK$1),BF69/($D$1-1)*$D$1,BF69/(MONTH($BK$1)-MONTH(BK69))*(MONTH($BK$1)-MONTH(BK69)+1)),"-"),0)</f>
        <v>0</v>
      </c>
      <c r="AL69" s="89">
        <v>0</v>
      </c>
      <c r="AM69" s="89">
        <v>0</v>
      </c>
      <c r="AN69" s="87" t="s">
        <v>273</v>
      </c>
      <c r="AO69" s="89">
        <v>0</v>
      </c>
      <c r="AP69" s="89" t="e">
        <f t="shared" ref="AP69:AP78" si="26">IF(IF(F69="正常工资薪金",AC69-AD69-AE69-AF69-AG69-AH69-AI69-AJ69-AK69-AL69-AM69,G69-H69-I69)&lt;0,0,IF(F69="正常工资薪金",AC69-AD69-AE69-AF69-AG69-AH69-AI69-AJ69-AK69-AL69-AM69,G69-H69-I69))</f>
        <v>#N/A</v>
      </c>
      <c r="AQ69" s="89" t="e" cm="1">
        <f t="array" ref="AQ69">_xlfn.IFS(F69="正常工资薪金",VLOOKUP(AP69,{0,0.03;36000,0.1;144000,0.2;300000,0.25;420000,0.3;660000,0.35;960000,0.45},2,1),F69="一般劳务报酬所得",IF(AP69&lt;=20000,0.2,IF(AP69&lt;=50000,0.3,0.4)),F69="全年一次性奖金收入",VLOOKUP(AP69/12,{0,0.03;3000,0.1;12000,0.2;25000,0.25;35000,0.3;55000,0.35;80000,0.45},2,1),F69="解除劳动合同一次性补偿金",VLOOKUP(AP69,{0,0.03;36000,0.1;144000,0.2;300000,0.25;420000,0.3;660000,0.35;960000,0.45},2,1))</f>
        <v>#N/A</v>
      </c>
      <c r="AR69" s="89" t="e" cm="1">
        <f t="array" ref="AR69">_xlfn.IFS(F69="正常工资薪金",VLOOKUP(AP69,{0,0;36000,2520;144000,16920;300000,31920;420000,52920;660000,85920;960000,181920},2,1),F69="一般劳务报酬所得",IF(AP69&lt;=20000,0,IF(AS&lt;=50000,2000,7000)),F69="全年一次性奖金收入",VLOOKUP(AP69/12,{0,0;3000,210;12000,1410;25000,2660;35000,4410;55000,7160;80000,15160},2,1),F69="解除劳动合同一次性补偿金",VLOOKUP(AP69,{0,0;36000,2520;144000,16920;300000,31920;420000,52920;660000,85920;960000,181920},2,1))</f>
        <v>#N/A</v>
      </c>
      <c r="AS69" s="89" t="e">
        <f t="shared" ref="AS69:AS78" si="27">AP69*AQ69-AR69</f>
        <v>#N/A</v>
      </c>
      <c r="AT69" s="89">
        <v>0</v>
      </c>
      <c r="AU69" s="89">
        <f t="shared" ref="AU69:AU78" si="28">BI69+BJ69</f>
        <v>82.21</v>
      </c>
      <c r="AV69" s="89" t="e">
        <f t="shared" ref="AV69:AV78" si="29">IF(AS69-AT69-AU69&gt;0,AS69-AT69-AU69,0)</f>
        <v>#N/A</v>
      </c>
      <c r="AW69" s="87"/>
      <c r="AX69" s="90">
        <f>IFERROR(IF(F69="正常工资薪金",VLOOKUP(D69&amp;"*",个税上月累计情况!E:AL,26,0),0),0)</f>
        <v>21205.26</v>
      </c>
      <c r="AY69" s="90">
        <f>IFERROR(IF(F69="正常工资薪金",VLOOKUP(D69&amp;"*",个税上月累计情况!E:AL,27,0),0),0)</f>
        <v>15000</v>
      </c>
      <c r="AZ69" s="90">
        <f>IFERROR(IF(F69="正常工资薪金",VLOOKUP(D69&amp;"*",个税上月累计情况!E:AL,28,0),0),0)</f>
        <v>3465.03</v>
      </c>
      <c r="BA69" s="90">
        <f>IFERROR(IF(F69="正常工资薪金",VLOOKUP(D69&amp;"*",个税上月累计情况!E:AL,29,0),0),0)</f>
        <v>0</v>
      </c>
      <c r="BB69" s="90">
        <f>IFERROR(IF(F69="正常工资薪金",VLOOKUP(D69&amp;"*",个税上月累计情况!E:AL,30,0),0),0)</f>
        <v>0</v>
      </c>
      <c r="BC69" s="90">
        <f>IFERROR(IF(F69="正常工资薪金",VLOOKUP(D69&amp;"*",个税上月累计情况!E:AL,31,0),0),0)</f>
        <v>0</v>
      </c>
      <c r="BD69" s="90">
        <f>IFERROR(IF(F69="正常工资薪金",VLOOKUP(D69&amp;"*",个税上月累计情况!E:AL,32,0),0),0)</f>
        <v>0</v>
      </c>
      <c r="BE69" s="90">
        <f>IFERROR(IF(F69="正常工资薪金",VLOOKUP(D69&amp;"*",个税上月累计情况!E:AL,33,0),0),0)</f>
        <v>0</v>
      </c>
      <c r="BF69" s="90">
        <f>IFERROR(IF(F69="正常工资薪金",VLOOKUP(D69&amp;"*",个税上月累计情况!E:AL,34,0),0),0)</f>
        <v>0</v>
      </c>
      <c r="BG69" s="90">
        <f>IFERROR(IF(F69="正常工资薪金",VLOOKUP(D69&amp;"*",个税上月累计情况!E:AN,35,0),0),0)</f>
        <v>0</v>
      </c>
      <c r="BH69" s="90">
        <f>IFERROR(IF(F69="正常工资薪金",VLOOKUP(D69&amp;"*",个税上月累计情况!E:AN,36,0),0),0)</f>
        <v>0</v>
      </c>
      <c r="BI69" s="90">
        <f>IFERROR(IF(F69="正常工资薪金",VLOOKUP(D69&amp;"*",个税上月累计情况!D:AW,46,0),0),0)</f>
        <v>26.86</v>
      </c>
      <c r="BJ69" s="90">
        <f>IFERROR(IF(F69="正常工资薪金",VLOOKUP(D69&amp;"*",个税上月累计情况!D:AX,47,0),0),0)</f>
        <v>55.35</v>
      </c>
      <c r="BK69" t="e">
        <f>VLOOKUP(B69,花名册!C:N,12,0)</f>
        <v>#N/A</v>
      </c>
    </row>
    <row r="70" ht="19.5" hidden="1" spans="1:63">
      <c r="A70" s="87"/>
      <c r="B70" s="87" t="s">
        <v>403</v>
      </c>
      <c r="C70" s="87" t="s">
        <v>268</v>
      </c>
      <c r="D70" s="87" t="s">
        <v>404</v>
      </c>
      <c r="E70" s="87" t="s">
        <v>270</v>
      </c>
      <c r="F70" s="87" t="s">
        <v>271</v>
      </c>
      <c r="G70" s="89" t="e" cm="1">
        <f t="array" ref="G70">_xlfn.IFS(F70="正常工资薪金",VLOOKUP(D70&amp;"*",工资表明细!D:BL,61,0),F70="一般劳务报酬所得",VLOOKUP(D70&amp;"*",工资表明细!D:BJ,59,0),F70="全年一次性奖金收入",VLOOKUP(D70&amp;"*",工资表明细!D:BI,58,0),F70="解除劳动合同一次性补偿金",VLOOKUP(D70&amp;"*",工资表明细!D:BH,57,0))</f>
        <v>#N/A</v>
      </c>
      <c r="H70" s="89">
        <f t="shared" si="15"/>
        <v>0</v>
      </c>
      <c r="I70" s="89">
        <v>0</v>
      </c>
      <c r="J70" s="89">
        <f t="shared" si="16"/>
        <v>5000</v>
      </c>
      <c r="K70" s="89" t="e">
        <f>IF(F70="正常工资薪金",VLOOKUP(D70&amp;"*",工资表明细!D:AP,39,0),0)</f>
        <v>#N/A</v>
      </c>
      <c r="L70" s="89" t="e">
        <f>IF(F70="正常工资薪金",VLOOKUP(D70&amp;"*",工资表明细!D:AQ,40,0),0)</f>
        <v>#N/A</v>
      </c>
      <c r="M70" s="89" t="e">
        <f>IF(F70="正常工资薪金",VLOOKUP(D70&amp;"*",工资表明细!D:AR,41,0),0)</f>
        <v>#N/A</v>
      </c>
      <c r="N70" s="89" t="e">
        <f>IF(F70="正常工资薪金",VLOOKUP(D70&amp;"*",工资表明细!D:AT,43,0),0)</f>
        <v>#N/A</v>
      </c>
      <c r="O70" s="89">
        <v>65</v>
      </c>
      <c r="P70" s="89">
        <v>65</v>
      </c>
      <c r="Q70" s="89">
        <v>65</v>
      </c>
      <c r="R70" s="89">
        <v>65</v>
      </c>
      <c r="S70" s="89">
        <v>65</v>
      </c>
      <c r="T70" s="89">
        <v>65</v>
      </c>
      <c r="U70" s="89">
        <v>65</v>
      </c>
      <c r="V70" s="89">
        <v>65</v>
      </c>
      <c r="W70" s="87" t="s">
        <v>272</v>
      </c>
      <c r="X70" s="89">
        <v>65</v>
      </c>
      <c r="Y70" s="87" t="s">
        <v>272</v>
      </c>
      <c r="Z70" s="87" t="s">
        <v>272</v>
      </c>
      <c r="AA70" s="87" t="s">
        <v>272</v>
      </c>
      <c r="AB70" s="89">
        <v>65</v>
      </c>
      <c r="AC70" s="89" t="e">
        <f t="shared" si="17"/>
        <v>#N/A</v>
      </c>
      <c r="AD70" s="89">
        <f t="shared" si="18"/>
        <v>20000</v>
      </c>
      <c r="AE70" s="89" t="e">
        <f t="shared" si="19"/>
        <v>#N/A</v>
      </c>
      <c r="AF70" s="89">
        <f t="shared" si="20"/>
        <v>0</v>
      </c>
      <c r="AG70" s="89">
        <f t="shared" si="21"/>
        <v>0</v>
      </c>
      <c r="AH70" s="89">
        <f t="shared" si="22"/>
        <v>0</v>
      </c>
      <c r="AI70" s="89">
        <f t="shared" si="23"/>
        <v>0</v>
      </c>
      <c r="AJ70" s="89">
        <f t="shared" si="24"/>
        <v>0</v>
      </c>
      <c r="AK70" s="89">
        <f t="shared" si="25"/>
        <v>0</v>
      </c>
      <c r="AL70" s="89">
        <v>0</v>
      </c>
      <c r="AM70" s="89">
        <v>0</v>
      </c>
      <c r="AN70" s="87" t="s">
        <v>273</v>
      </c>
      <c r="AO70" s="89">
        <v>0</v>
      </c>
      <c r="AP70" s="89" t="e">
        <f t="shared" si="26"/>
        <v>#N/A</v>
      </c>
      <c r="AQ70" s="89" t="e" cm="1">
        <f t="array" ref="AQ70">_xlfn.IFS(F70="正常工资薪金",VLOOKUP(AP70,{0,0.03;36000,0.1;144000,0.2;300000,0.25;420000,0.3;660000,0.35;960000,0.45},2,1),F70="一般劳务报酬所得",IF(AP70&lt;=20000,0.2,IF(AP70&lt;=50000,0.3,0.4)),F70="全年一次性奖金收入",VLOOKUP(AP70/12,{0,0.03;3000,0.1;12000,0.2;25000,0.25;35000,0.3;55000,0.35;80000,0.45},2,1),F70="解除劳动合同一次性补偿金",VLOOKUP(AP70,{0,0.03;36000,0.1;144000,0.2;300000,0.25;420000,0.3;660000,0.35;960000,0.45},2,1))</f>
        <v>#N/A</v>
      </c>
      <c r="AR70" s="89" t="e" cm="1">
        <f t="array" ref="AR70">_xlfn.IFS(F70="正常工资薪金",VLOOKUP(AP70,{0,0;36000,2520;144000,16920;300000,31920;420000,52920;660000,85920;960000,181920},2,1),F70="一般劳务报酬所得",IF(AP70&lt;=20000,0,IF(AS&lt;=50000,2000,7000)),F70="全年一次性奖金收入",VLOOKUP(AP70/12,{0,0;3000,210;12000,1410;25000,2660;35000,4410;55000,7160;80000,15160},2,1),F70="解除劳动合同一次性补偿金",VLOOKUP(AP70,{0,0;36000,2520;144000,16920;300000,31920;420000,52920;660000,85920;960000,181920},2,1))</f>
        <v>#N/A</v>
      </c>
      <c r="AS70" s="89" t="e">
        <f t="shared" si="27"/>
        <v>#N/A</v>
      </c>
      <c r="AT70" s="89">
        <v>0</v>
      </c>
      <c r="AU70" s="89">
        <f t="shared" si="28"/>
        <v>0</v>
      </c>
      <c r="AV70" s="89" t="e">
        <f t="shared" si="29"/>
        <v>#N/A</v>
      </c>
      <c r="AW70" s="87"/>
      <c r="AX70" s="90">
        <f>IFERROR(IF(F70="正常工资薪金",VLOOKUP(D70&amp;"*",个税上月累计情况!E:AL,26,0),0),0)</f>
        <v>16457.14</v>
      </c>
      <c r="AY70" s="90">
        <f>IFERROR(IF(F70="正常工资薪金",VLOOKUP(D70&amp;"*",个税上月累计情况!E:AL,27,0),0),0)</f>
        <v>15000</v>
      </c>
      <c r="AZ70" s="90">
        <f>IFERROR(IF(F70="正常工资薪金",VLOOKUP(D70&amp;"*",个税上月累计情况!E:AL,28,0),0),0)</f>
        <v>2230.02</v>
      </c>
      <c r="BA70" s="90">
        <f>IFERROR(IF(F70="正常工资薪金",VLOOKUP(D70&amp;"*",个税上月累计情况!E:AL,29,0),0),0)</f>
        <v>0</v>
      </c>
      <c r="BB70" s="90">
        <f>IFERROR(IF(F70="正常工资薪金",VLOOKUP(D70&amp;"*",个税上月累计情况!E:AL,30,0),0),0)</f>
        <v>0</v>
      </c>
      <c r="BC70" s="90">
        <f>IFERROR(IF(F70="正常工资薪金",VLOOKUP(D70&amp;"*",个税上月累计情况!E:AL,31,0),0),0)</f>
        <v>0</v>
      </c>
      <c r="BD70" s="90">
        <f>IFERROR(IF(F70="正常工资薪金",VLOOKUP(D70&amp;"*",个税上月累计情况!E:AL,32,0),0),0)</f>
        <v>0</v>
      </c>
      <c r="BE70" s="90">
        <f>IFERROR(IF(F70="正常工资薪金",VLOOKUP(D70&amp;"*",个税上月累计情况!E:AL,33,0),0),0)</f>
        <v>0</v>
      </c>
      <c r="BF70" s="90">
        <f>IFERROR(IF(F70="正常工资薪金",VLOOKUP(D70&amp;"*",个税上月累计情况!E:AL,34,0),0),0)</f>
        <v>0</v>
      </c>
      <c r="BG70" s="90">
        <f>IFERROR(IF(F70="正常工资薪金",VLOOKUP(D70&amp;"*",个税上月累计情况!E:AN,35,0),0),0)</f>
        <v>0</v>
      </c>
      <c r="BH70" s="90">
        <f>IFERROR(IF(F70="正常工资薪金",VLOOKUP(D70&amp;"*",个税上月累计情况!E:AN,36,0),0),0)</f>
        <v>0</v>
      </c>
      <c r="BI70" s="90">
        <f>IFERROR(IF(F70="正常工资薪金",VLOOKUP(D70&amp;"*",个税上月累计情况!D:AW,46,0),0),0)</f>
        <v>0</v>
      </c>
      <c r="BJ70" s="90">
        <f>IFERROR(IF(F70="正常工资薪金",VLOOKUP(D70&amp;"*",个税上月累计情况!D:AX,47,0),0),0)</f>
        <v>0</v>
      </c>
      <c r="BK70" t="e">
        <f>VLOOKUP(B70,花名册!C:N,12,0)</f>
        <v>#N/A</v>
      </c>
    </row>
    <row r="71" ht="19.5" hidden="1" spans="1:63">
      <c r="A71" s="87"/>
      <c r="B71" s="87" t="s">
        <v>405</v>
      </c>
      <c r="C71" s="87" t="s">
        <v>268</v>
      </c>
      <c r="D71" s="87" t="s">
        <v>406</v>
      </c>
      <c r="E71" s="87" t="s">
        <v>270</v>
      </c>
      <c r="F71" s="87" t="s">
        <v>271</v>
      </c>
      <c r="G71" s="89" t="e" cm="1">
        <f t="array" ref="G71">_xlfn.IFS(F71="正常工资薪金",VLOOKUP(D71&amp;"*",工资表明细!D:BL,61,0),F71="一般劳务报酬所得",VLOOKUP(D71&amp;"*",工资表明细!D:BJ,59,0),F71="全年一次性奖金收入",VLOOKUP(D71&amp;"*",工资表明细!D:BI,58,0),F71="解除劳动合同一次性补偿金",VLOOKUP(D71&amp;"*",工资表明细!D:BH,57,0))</f>
        <v>#N/A</v>
      </c>
      <c r="H71" s="89">
        <f t="shared" si="15"/>
        <v>0</v>
      </c>
      <c r="I71" s="89">
        <v>0</v>
      </c>
      <c r="J71" s="89">
        <f t="shared" si="16"/>
        <v>5000</v>
      </c>
      <c r="K71" s="89" t="e">
        <f>IF(F71="正常工资薪金",VLOOKUP(D71&amp;"*",工资表明细!D:AP,39,0),0)</f>
        <v>#N/A</v>
      </c>
      <c r="L71" s="89" t="e">
        <f>IF(F71="正常工资薪金",VLOOKUP(D71&amp;"*",工资表明细!D:AQ,40,0),0)</f>
        <v>#N/A</v>
      </c>
      <c r="M71" s="89" t="e">
        <f>IF(F71="正常工资薪金",VLOOKUP(D71&amp;"*",工资表明细!D:AR,41,0),0)</f>
        <v>#N/A</v>
      </c>
      <c r="N71" s="89" t="e">
        <f>IF(F71="正常工资薪金",VLOOKUP(D71&amp;"*",工资表明细!D:AT,43,0),0)</f>
        <v>#N/A</v>
      </c>
      <c r="O71" s="89">
        <v>66</v>
      </c>
      <c r="P71" s="89">
        <v>66</v>
      </c>
      <c r="Q71" s="89">
        <v>66</v>
      </c>
      <c r="R71" s="89">
        <v>66</v>
      </c>
      <c r="S71" s="89">
        <v>66</v>
      </c>
      <c r="T71" s="89">
        <v>66</v>
      </c>
      <c r="U71" s="89">
        <v>66</v>
      </c>
      <c r="V71" s="89">
        <v>66</v>
      </c>
      <c r="W71" s="87" t="s">
        <v>272</v>
      </c>
      <c r="X71" s="89">
        <v>66</v>
      </c>
      <c r="Y71" s="87" t="s">
        <v>272</v>
      </c>
      <c r="Z71" s="87" t="s">
        <v>272</v>
      </c>
      <c r="AA71" s="87" t="s">
        <v>272</v>
      </c>
      <c r="AB71" s="89">
        <v>66</v>
      </c>
      <c r="AC71" s="89" t="e">
        <f t="shared" si="17"/>
        <v>#N/A</v>
      </c>
      <c r="AD71" s="89">
        <f t="shared" si="18"/>
        <v>20000</v>
      </c>
      <c r="AE71" s="89" t="e">
        <f t="shared" si="19"/>
        <v>#N/A</v>
      </c>
      <c r="AF71" s="89">
        <f t="shared" si="20"/>
        <v>0</v>
      </c>
      <c r="AG71" s="89">
        <f t="shared" si="21"/>
        <v>0</v>
      </c>
      <c r="AH71" s="89">
        <f t="shared" si="22"/>
        <v>0</v>
      </c>
      <c r="AI71" s="89">
        <f t="shared" si="23"/>
        <v>0</v>
      </c>
      <c r="AJ71" s="89">
        <f t="shared" si="24"/>
        <v>0</v>
      </c>
      <c r="AK71" s="89">
        <f t="shared" si="25"/>
        <v>0</v>
      </c>
      <c r="AL71" s="89">
        <v>0</v>
      </c>
      <c r="AM71" s="89">
        <v>0</v>
      </c>
      <c r="AN71" s="87" t="s">
        <v>273</v>
      </c>
      <c r="AO71" s="89">
        <v>0</v>
      </c>
      <c r="AP71" s="89" t="e">
        <f t="shared" si="26"/>
        <v>#N/A</v>
      </c>
      <c r="AQ71" s="89" t="e" cm="1">
        <f t="array" ref="AQ71">_xlfn.IFS(F71="正常工资薪金",VLOOKUP(AP71,{0,0.03;36000,0.1;144000,0.2;300000,0.25;420000,0.3;660000,0.35;960000,0.45},2,1),F71="一般劳务报酬所得",IF(AP71&lt;=20000,0.2,IF(AP71&lt;=50000,0.3,0.4)),F71="全年一次性奖金收入",VLOOKUP(AP71/12,{0,0.03;3000,0.1;12000,0.2;25000,0.25;35000,0.3;55000,0.35;80000,0.45},2,1),F71="解除劳动合同一次性补偿金",VLOOKUP(AP71,{0,0.03;36000,0.1;144000,0.2;300000,0.25;420000,0.3;660000,0.35;960000,0.45},2,1))</f>
        <v>#N/A</v>
      </c>
      <c r="AR71" s="89" t="e" cm="1">
        <f t="array" ref="AR71">_xlfn.IFS(F71="正常工资薪金",VLOOKUP(AP71,{0,0;36000,2520;144000,16920;300000,31920;420000,52920;660000,85920;960000,181920},2,1),F71="一般劳务报酬所得",IF(AP71&lt;=20000,0,IF(AS&lt;=50000,2000,7000)),F71="全年一次性奖金收入",VLOOKUP(AP71/12,{0,0;3000,210;12000,1410;25000,2660;35000,4410;55000,7160;80000,15160},2,1),F71="解除劳动合同一次性补偿金",VLOOKUP(AP71,{0,0;36000,2520;144000,16920;300000,31920;420000,52920;660000,85920;960000,181920},2,1))</f>
        <v>#N/A</v>
      </c>
      <c r="AS71" s="89" t="e">
        <f t="shared" si="27"/>
        <v>#N/A</v>
      </c>
      <c r="AT71" s="89">
        <v>0</v>
      </c>
      <c r="AU71" s="89">
        <f t="shared" si="28"/>
        <v>105.86</v>
      </c>
      <c r="AV71" s="89" t="e">
        <f t="shared" si="29"/>
        <v>#N/A</v>
      </c>
      <c r="AW71" s="87"/>
      <c r="AX71" s="90">
        <f>IFERROR(IF(F71="正常工资薪金",VLOOKUP(D71&amp;"*",个税上月累计情况!E:AL,26,0),0),0)</f>
        <v>20998.57</v>
      </c>
      <c r="AY71" s="90">
        <f>IFERROR(IF(F71="正常工资薪金",VLOOKUP(D71&amp;"*",个税上月累计情况!E:AL,27,0),0),0)</f>
        <v>15000</v>
      </c>
      <c r="AZ71" s="90">
        <f>IFERROR(IF(F71="正常工资薪金",VLOOKUP(D71&amp;"*",个税上月累计情况!E:AL,28,0),0),0)</f>
        <v>2470.02</v>
      </c>
      <c r="BA71" s="90">
        <f>IFERROR(IF(F71="正常工资薪金",VLOOKUP(D71&amp;"*",个税上月累计情况!E:AL,29,0),0),0)</f>
        <v>0</v>
      </c>
      <c r="BB71" s="90">
        <f>IFERROR(IF(F71="正常工资薪金",VLOOKUP(D71&amp;"*",个税上月累计情况!E:AL,30,0),0),0)</f>
        <v>0</v>
      </c>
      <c r="BC71" s="90">
        <f>IFERROR(IF(F71="正常工资薪金",VLOOKUP(D71&amp;"*",个税上月累计情况!E:AL,31,0),0),0)</f>
        <v>0</v>
      </c>
      <c r="BD71" s="90">
        <f>IFERROR(IF(F71="正常工资薪金",VLOOKUP(D71&amp;"*",个税上月累计情况!E:AL,32,0),0),0)</f>
        <v>0</v>
      </c>
      <c r="BE71" s="90">
        <f>IFERROR(IF(F71="正常工资薪金",VLOOKUP(D71&amp;"*",个税上月累计情况!E:AL,33,0),0),0)</f>
        <v>0</v>
      </c>
      <c r="BF71" s="90">
        <f>IFERROR(IF(F71="正常工资薪金",VLOOKUP(D71&amp;"*",个税上月累计情况!E:AL,34,0),0),0)</f>
        <v>0</v>
      </c>
      <c r="BG71" s="90">
        <f>IFERROR(IF(F71="正常工资薪金",VLOOKUP(D71&amp;"*",个税上月累计情况!E:AN,35,0),0),0)</f>
        <v>0</v>
      </c>
      <c r="BH71" s="90">
        <f>IFERROR(IF(F71="正常工资薪金",VLOOKUP(D71&amp;"*",个税上月累计情况!E:AN,36,0),0),0)</f>
        <v>0</v>
      </c>
      <c r="BI71" s="90">
        <f>IFERROR(IF(F71="正常工资薪金",VLOOKUP(D71&amp;"*",个税上月累计情况!D:AW,46,0),0),0)</f>
        <v>4.91</v>
      </c>
      <c r="BJ71" s="90">
        <f>IFERROR(IF(F71="正常工资薪金",VLOOKUP(D71&amp;"*",个税上月累计情况!D:AX,47,0),0),0)</f>
        <v>100.95</v>
      </c>
      <c r="BK71" t="e">
        <f>VLOOKUP(B71,花名册!C:N,12,0)</f>
        <v>#N/A</v>
      </c>
    </row>
    <row r="72" ht="19.5" hidden="1" spans="1:63">
      <c r="A72" s="87"/>
      <c r="B72" s="87" t="s">
        <v>407</v>
      </c>
      <c r="C72" s="87" t="s">
        <v>268</v>
      </c>
      <c r="D72" s="87" t="s">
        <v>408</v>
      </c>
      <c r="E72" s="87" t="s">
        <v>270</v>
      </c>
      <c r="F72" s="87" t="s">
        <v>271</v>
      </c>
      <c r="G72" s="89" t="e" cm="1">
        <f t="array" ref="G72">_xlfn.IFS(F72="正常工资薪金",VLOOKUP(D72&amp;"*",工资表明细!D:BL,61,0),F72="一般劳务报酬所得",VLOOKUP(D72&amp;"*",工资表明细!D:BJ,59,0),F72="全年一次性奖金收入",VLOOKUP(D72&amp;"*",工资表明细!D:BI,58,0),F72="解除劳动合同一次性补偿金",VLOOKUP(D72&amp;"*",工资表明细!D:BH,57,0))</f>
        <v>#N/A</v>
      </c>
      <c r="H72" s="89">
        <f t="shared" si="15"/>
        <v>0</v>
      </c>
      <c r="I72" s="89">
        <v>0</v>
      </c>
      <c r="J72" s="89">
        <f t="shared" si="16"/>
        <v>5000</v>
      </c>
      <c r="K72" s="89" t="e">
        <f>IF(F72="正常工资薪金",VLOOKUP(D72&amp;"*",工资表明细!D:AP,39,0),0)</f>
        <v>#N/A</v>
      </c>
      <c r="L72" s="89" t="e">
        <f>IF(F72="正常工资薪金",VLOOKUP(D72&amp;"*",工资表明细!D:AQ,40,0),0)</f>
        <v>#N/A</v>
      </c>
      <c r="M72" s="89" t="e">
        <f>IF(F72="正常工资薪金",VLOOKUP(D72&amp;"*",工资表明细!D:AR,41,0),0)</f>
        <v>#N/A</v>
      </c>
      <c r="N72" s="89" t="e">
        <f>IF(F72="正常工资薪金",VLOOKUP(D72&amp;"*",工资表明细!D:AT,43,0),0)</f>
        <v>#N/A</v>
      </c>
      <c r="O72" s="89">
        <v>67</v>
      </c>
      <c r="P72" s="89">
        <v>67</v>
      </c>
      <c r="Q72" s="89">
        <v>67</v>
      </c>
      <c r="R72" s="89">
        <v>67</v>
      </c>
      <c r="S72" s="89">
        <v>67</v>
      </c>
      <c r="T72" s="89">
        <v>67</v>
      </c>
      <c r="U72" s="89">
        <v>67</v>
      </c>
      <c r="V72" s="89">
        <v>67</v>
      </c>
      <c r="W72" s="87" t="s">
        <v>272</v>
      </c>
      <c r="X72" s="89">
        <v>67</v>
      </c>
      <c r="Y72" s="87" t="s">
        <v>272</v>
      </c>
      <c r="Z72" s="87" t="s">
        <v>272</v>
      </c>
      <c r="AA72" s="87" t="s">
        <v>272</v>
      </c>
      <c r="AB72" s="89">
        <v>67</v>
      </c>
      <c r="AC72" s="89" t="e">
        <f t="shared" si="17"/>
        <v>#N/A</v>
      </c>
      <c r="AD72" s="89">
        <f t="shared" si="18"/>
        <v>10000</v>
      </c>
      <c r="AE72" s="89" t="e">
        <f t="shared" si="19"/>
        <v>#N/A</v>
      </c>
      <c r="AF72" s="89">
        <f t="shared" si="20"/>
        <v>0</v>
      </c>
      <c r="AG72" s="89">
        <f t="shared" si="21"/>
        <v>0</v>
      </c>
      <c r="AH72" s="89">
        <f t="shared" si="22"/>
        <v>0</v>
      </c>
      <c r="AI72" s="89">
        <f t="shared" si="23"/>
        <v>0</v>
      </c>
      <c r="AJ72" s="89">
        <f t="shared" si="24"/>
        <v>0</v>
      </c>
      <c r="AK72" s="89">
        <f t="shared" si="25"/>
        <v>0</v>
      </c>
      <c r="AL72" s="89">
        <v>0</v>
      </c>
      <c r="AM72" s="89">
        <v>0</v>
      </c>
      <c r="AN72" s="87" t="s">
        <v>273</v>
      </c>
      <c r="AO72" s="89">
        <v>0</v>
      </c>
      <c r="AP72" s="89" t="e">
        <f t="shared" si="26"/>
        <v>#N/A</v>
      </c>
      <c r="AQ72" s="89" t="e" cm="1">
        <f t="array" ref="AQ72">_xlfn.IFS(F72="正常工资薪金",VLOOKUP(AP72,{0,0.03;36000,0.1;144000,0.2;300000,0.25;420000,0.3;660000,0.35;960000,0.45},2,1),F72="一般劳务报酬所得",IF(AP72&lt;=20000,0.2,IF(AP72&lt;=50000,0.3,0.4)),F72="全年一次性奖金收入",VLOOKUP(AP72/12,{0,0.03;3000,0.1;12000,0.2;25000,0.25;35000,0.3;55000,0.35;80000,0.45},2,1),F72="解除劳动合同一次性补偿金",VLOOKUP(AP72,{0,0.03;36000,0.1;144000,0.2;300000,0.25;420000,0.3;660000,0.35;960000,0.45},2,1))</f>
        <v>#N/A</v>
      </c>
      <c r="AR72" s="89" t="e" cm="1">
        <f t="array" ref="AR72">_xlfn.IFS(F72="正常工资薪金",VLOOKUP(AP72,{0,0;36000,2520;144000,16920;300000,31920;420000,52920;660000,85920;960000,181920},2,1),F72="一般劳务报酬所得",IF(AP72&lt;=20000,0,IF(AS&lt;=50000,2000,7000)),F72="全年一次性奖金收入",VLOOKUP(AP72/12,{0,0;3000,210;12000,1410;25000,2660;35000,4410;55000,7160;80000,15160},2,1),F72="解除劳动合同一次性补偿金",VLOOKUP(AP72,{0,0;36000,2520;144000,16920;300000,31920;420000,52920;660000,85920;960000,181920},2,1))</f>
        <v>#N/A</v>
      </c>
      <c r="AS72" s="89" t="e">
        <f t="shared" si="27"/>
        <v>#N/A</v>
      </c>
      <c r="AT72" s="89">
        <v>0</v>
      </c>
      <c r="AU72" s="89">
        <f t="shared" si="28"/>
        <v>0</v>
      </c>
      <c r="AV72" s="89" t="e">
        <f t="shared" si="29"/>
        <v>#N/A</v>
      </c>
      <c r="AW72" s="87"/>
      <c r="AX72" s="90">
        <f>IFERROR(IF(F72="正常工资薪金",VLOOKUP(D72&amp;"*",个税上月累计情况!E:AL,26,0),0),0)</f>
        <v>4857.14</v>
      </c>
      <c r="AY72" s="90">
        <f>IFERROR(IF(F72="正常工资薪金",VLOOKUP(D72&amp;"*",个税上月累计情况!E:AL,27,0),0),0)</f>
        <v>5000</v>
      </c>
      <c r="AZ72" s="90">
        <f>IFERROR(IF(F72="正常工资薪金",VLOOKUP(D72&amp;"*",个税上月累计情况!E:AL,28,0),0),0)</f>
        <v>1095.01</v>
      </c>
      <c r="BA72" s="90">
        <f>IFERROR(IF(F72="正常工资薪金",VLOOKUP(D72&amp;"*",个税上月累计情况!E:AL,29,0),0),0)</f>
        <v>0</v>
      </c>
      <c r="BB72" s="90">
        <f>IFERROR(IF(F72="正常工资薪金",VLOOKUP(D72&amp;"*",个税上月累计情况!E:AL,30,0),0),0)</f>
        <v>0</v>
      </c>
      <c r="BC72" s="90">
        <f>IFERROR(IF(F72="正常工资薪金",VLOOKUP(D72&amp;"*",个税上月累计情况!E:AL,31,0),0),0)</f>
        <v>0</v>
      </c>
      <c r="BD72" s="90">
        <f>IFERROR(IF(F72="正常工资薪金",VLOOKUP(D72&amp;"*",个税上月累计情况!E:AL,32,0),0),0)</f>
        <v>0</v>
      </c>
      <c r="BE72" s="90">
        <f>IFERROR(IF(F72="正常工资薪金",VLOOKUP(D72&amp;"*",个税上月累计情况!E:AL,33,0),0),0)</f>
        <v>0</v>
      </c>
      <c r="BF72" s="90">
        <f>IFERROR(IF(F72="正常工资薪金",VLOOKUP(D72&amp;"*",个税上月累计情况!E:AL,34,0),0),0)</f>
        <v>0</v>
      </c>
      <c r="BG72" s="90">
        <f>IFERROR(IF(F72="正常工资薪金",VLOOKUP(D72&amp;"*",个税上月累计情况!E:AN,35,0),0),0)</f>
        <v>0</v>
      </c>
      <c r="BH72" s="90">
        <f>IFERROR(IF(F72="正常工资薪金",VLOOKUP(D72&amp;"*",个税上月累计情况!E:AN,36,0),0),0)</f>
        <v>0</v>
      </c>
      <c r="BI72" s="90">
        <f>IFERROR(IF(F72="正常工资薪金",VLOOKUP(D72&amp;"*",个税上月累计情况!D:AW,46,0),0),0)</f>
        <v>0</v>
      </c>
      <c r="BJ72" s="90">
        <f>IFERROR(IF(F72="正常工资薪金",VLOOKUP(D72&amp;"*",个税上月累计情况!D:AX,47,0),0),0)</f>
        <v>0</v>
      </c>
      <c r="BK72" t="e">
        <f>VLOOKUP(B72,花名册!C:N,12,0)</f>
        <v>#N/A</v>
      </c>
    </row>
    <row r="73" ht="19.5" hidden="1" spans="1:63">
      <c r="A73" s="87"/>
      <c r="B73" s="87" t="s">
        <v>409</v>
      </c>
      <c r="C73" s="87" t="s">
        <v>268</v>
      </c>
      <c r="D73" s="87" t="s">
        <v>410</v>
      </c>
      <c r="E73" s="87" t="s">
        <v>270</v>
      </c>
      <c r="F73" s="87" t="s">
        <v>271</v>
      </c>
      <c r="G73" s="89" t="e" cm="1">
        <f t="array" ref="G73">_xlfn.IFS(F73="正常工资薪金",VLOOKUP(D73&amp;"*",工资表明细!D:BL,61,0),F73="一般劳务报酬所得",VLOOKUP(D73&amp;"*",工资表明细!D:BJ,59,0),F73="全年一次性奖金收入",VLOOKUP(D73&amp;"*",工资表明细!D:BI,58,0),F73="解除劳动合同一次性补偿金",VLOOKUP(D73&amp;"*",工资表明细!D:BH,57,0))</f>
        <v>#N/A</v>
      </c>
      <c r="H73" s="89">
        <f t="shared" si="15"/>
        <v>0</v>
      </c>
      <c r="I73" s="89">
        <v>0</v>
      </c>
      <c r="J73" s="89">
        <f t="shared" si="16"/>
        <v>5000</v>
      </c>
      <c r="K73" s="89" t="e">
        <f>IF(F73="正常工资薪金",VLOOKUP(D73&amp;"*",工资表明细!D:AP,39,0),0)</f>
        <v>#N/A</v>
      </c>
      <c r="L73" s="89" t="e">
        <f>IF(F73="正常工资薪金",VLOOKUP(D73&amp;"*",工资表明细!D:AQ,40,0),0)</f>
        <v>#N/A</v>
      </c>
      <c r="M73" s="89" t="e">
        <f>IF(F73="正常工资薪金",VLOOKUP(D73&amp;"*",工资表明细!D:AR,41,0),0)</f>
        <v>#N/A</v>
      </c>
      <c r="N73" s="89" t="e">
        <f>IF(F73="正常工资薪金",VLOOKUP(D73&amp;"*",工资表明细!D:AT,43,0),0)</f>
        <v>#N/A</v>
      </c>
      <c r="O73" s="89">
        <v>68</v>
      </c>
      <c r="P73" s="89">
        <v>68</v>
      </c>
      <c r="Q73" s="89">
        <v>68</v>
      </c>
      <c r="R73" s="89">
        <v>68</v>
      </c>
      <c r="S73" s="89">
        <v>68</v>
      </c>
      <c r="T73" s="89">
        <v>68</v>
      </c>
      <c r="U73" s="89">
        <v>68</v>
      </c>
      <c r="V73" s="89">
        <v>68</v>
      </c>
      <c r="W73" s="87" t="s">
        <v>272</v>
      </c>
      <c r="X73" s="89">
        <v>68</v>
      </c>
      <c r="Y73" s="87" t="s">
        <v>272</v>
      </c>
      <c r="Z73" s="87" t="s">
        <v>272</v>
      </c>
      <c r="AA73" s="87" t="s">
        <v>272</v>
      </c>
      <c r="AB73" s="89">
        <v>68</v>
      </c>
      <c r="AC73" s="89" t="e">
        <f t="shared" si="17"/>
        <v>#N/A</v>
      </c>
      <c r="AD73" s="89">
        <f t="shared" si="18"/>
        <v>10000</v>
      </c>
      <c r="AE73" s="89" t="e">
        <f t="shared" si="19"/>
        <v>#N/A</v>
      </c>
      <c r="AF73" s="89">
        <f t="shared" si="20"/>
        <v>0</v>
      </c>
      <c r="AG73" s="89">
        <f t="shared" si="21"/>
        <v>0</v>
      </c>
      <c r="AH73" s="89">
        <f t="shared" si="22"/>
        <v>0</v>
      </c>
      <c r="AI73" s="89">
        <f t="shared" si="23"/>
        <v>0</v>
      </c>
      <c r="AJ73" s="89">
        <f t="shared" si="24"/>
        <v>0</v>
      </c>
      <c r="AK73" s="89">
        <f t="shared" si="25"/>
        <v>0</v>
      </c>
      <c r="AL73" s="89">
        <v>0</v>
      </c>
      <c r="AM73" s="89">
        <v>0</v>
      </c>
      <c r="AN73" s="87" t="s">
        <v>273</v>
      </c>
      <c r="AO73" s="89">
        <v>0</v>
      </c>
      <c r="AP73" s="89" t="e">
        <f t="shared" si="26"/>
        <v>#N/A</v>
      </c>
      <c r="AQ73" s="89" t="e" cm="1">
        <f t="array" ref="AQ73">_xlfn.IFS(F73="正常工资薪金",VLOOKUP(AP73,{0,0.03;36000,0.1;144000,0.2;300000,0.25;420000,0.3;660000,0.35;960000,0.45},2,1),F73="一般劳务报酬所得",IF(AP73&lt;=20000,0.2,IF(AP73&lt;=50000,0.3,0.4)),F73="全年一次性奖金收入",VLOOKUP(AP73/12,{0,0.03;3000,0.1;12000,0.2;25000,0.25;35000,0.3;55000,0.35;80000,0.45},2,1),F73="解除劳动合同一次性补偿金",VLOOKUP(AP73,{0,0.03;36000,0.1;144000,0.2;300000,0.25;420000,0.3;660000,0.35;960000,0.45},2,1))</f>
        <v>#N/A</v>
      </c>
      <c r="AR73" s="89" t="e" cm="1">
        <f t="array" ref="AR73">_xlfn.IFS(F73="正常工资薪金",VLOOKUP(AP73,{0,0;36000,2520;144000,16920;300000,31920;420000,52920;660000,85920;960000,181920},2,1),F73="一般劳务报酬所得",IF(AP73&lt;=20000,0,IF(AS&lt;=50000,2000,7000)),F73="全年一次性奖金收入",VLOOKUP(AP73/12,{0,0;3000,210;12000,1410;25000,2660;35000,4410;55000,7160;80000,15160},2,1),F73="解除劳动合同一次性补偿金",VLOOKUP(AP73,{0,0;36000,2520;144000,16920;300000,31920;420000,52920;660000,85920;960000,181920},2,1))</f>
        <v>#N/A</v>
      </c>
      <c r="AS73" s="89" t="e">
        <f t="shared" si="27"/>
        <v>#N/A</v>
      </c>
      <c r="AT73" s="89">
        <v>0</v>
      </c>
      <c r="AU73" s="89">
        <f t="shared" si="28"/>
        <v>5.15</v>
      </c>
      <c r="AV73" s="89" t="e">
        <f t="shared" si="29"/>
        <v>#N/A</v>
      </c>
      <c r="AW73" s="87"/>
      <c r="AX73" s="90">
        <f>IFERROR(IF(F73="正常工资薪金",VLOOKUP(D73&amp;"*",个税上月累计情况!E:AL,26,0),0),0)</f>
        <v>6095.24</v>
      </c>
      <c r="AY73" s="90">
        <f>IFERROR(IF(F73="正常工资薪金",VLOOKUP(D73&amp;"*",个税上月累计情况!E:AL,27,0),0),0)</f>
        <v>5000</v>
      </c>
      <c r="AZ73" s="90">
        <f>IFERROR(IF(F73="正常工资薪金",VLOOKUP(D73&amp;"*",个税上月累计情况!E:AL,28,0),0),0)</f>
        <v>923.53</v>
      </c>
      <c r="BA73" s="90">
        <f>IFERROR(IF(F73="正常工资薪金",VLOOKUP(D73&amp;"*",个税上月累计情况!E:AL,29,0),0),0)</f>
        <v>0</v>
      </c>
      <c r="BB73" s="90">
        <f>IFERROR(IF(F73="正常工资薪金",VLOOKUP(D73&amp;"*",个税上月累计情况!E:AL,30,0),0),0)</f>
        <v>0</v>
      </c>
      <c r="BC73" s="90">
        <f>IFERROR(IF(F73="正常工资薪金",VLOOKUP(D73&amp;"*",个税上月累计情况!E:AL,31,0),0),0)</f>
        <v>0</v>
      </c>
      <c r="BD73" s="90">
        <f>IFERROR(IF(F73="正常工资薪金",VLOOKUP(D73&amp;"*",个税上月累计情况!E:AL,32,0),0),0)</f>
        <v>0</v>
      </c>
      <c r="BE73" s="90">
        <f>IFERROR(IF(F73="正常工资薪金",VLOOKUP(D73&amp;"*",个税上月累计情况!E:AL,33,0),0),0)</f>
        <v>0</v>
      </c>
      <c r="BF73" s="90">
        <f>IFERROR(IF(F73="正常工资薪金",VLOOKUP(D73&amp;"*",个税上月累计情况!E:AL,34,0),0),0)</f>
        <v>0</v>
      </c>
      <c r="BG73" s="90">
        <f>IFERROR(IF(F73="正常工资薪金",VLOOKUP(D73&amp;"*",个税上月累计情况!E:AN,35,0),0),0)</f>
        <v>0</v>
      </c>
      <c r="BH73" s="90">
        <f>IFERROR(IF(F73="正常工资薪金",VLOOKUP(D73&amp;"*",个税上月累计情况!E:AN,36,0),0),0)</f>
        <v>0</v>
      </c>
      <c r="BI73" s="90">
        <f>IFERROR(IF(F73="正常工资薪金",VLOOKUP(D73&amp;"*",个税上月累计情况!D:AW,46,0),0),0)</f>
        <v>0</v>
      </c>
      <c r="BJ73" s="90">
        <f>IFERROR(IF(F73="正常工资薪金",VLOOKUP(D73&amp;"*",个税上月累计情况!D:AX,47,0),0),0)</f>
        <v>5.15</v>
      </c>
      <c r="BK73" t="e">
        <f>VLOOKUP(B73,花名册!C:N,12,0)</f>
        <v>#N/A</v>
      </c>
    </row>
    <row r="74" ht="19.5" hidden="1" spans="1:63">
      <c r="A74" s="87"/>
      <c r="B74" s="87" t="s">
        <v>411</v>
      </c>
      <c r="C74" s="87" t="s">
        <v>268</v>
      </c>
      <c r="D74" s="87" t="s">
        <v>412</v>
      </c>
      <c r="E74" s="87" t="s">
        <v>270</v>
      </c>
      <c r="F74" s="87" t="s">
        <v>271</v>
      </c>
      <c r="G74" s="89" t="e" cm="1">
        <f t="array" ref="G74">_xlfn.IFS(F74="正常工资薪金",VLOOKUP(D74&amp;"*",工资表明细!D:BL,61,0),F74="一般劳务报酬所得",VLOOKUP(D74&amp;"*",工资表明细!D:BJ,59,0),F74="全年一次性奖金收入",VLOOKUP(D74&amp;"*",工资表明细!D:BI,58,0),F74="解除劳动合同一次性补偿金",VLOOKUP(D74&amp;"*",工资表明细!D:BH,57,0))</f>
        <v>#N/A</v>
      </c>
      <c r="H74" s="89">
        <f t="shared" si="15"/>
        <v>0</v>
      </c>
      <c r="I74" s="89">
        <v>0</v>
      </c>
      <c r="J74" s="89">
        <f t="shared" si="16"/>
        <v>5000</v>
      </c>
      <c r="K74" s="89" t="e">
        <f>IF(F74="正常工资薪金",VLOOKUP(D74&amp;"*",工资表明细!D:AP,39,0),0)</f>
        <v>#N/A</v>
      </c>
      <c r="L74" s="89" t="e">
        <f>IF(F74="正常工资薪金",VLOOKUP(D74&amp;"*",工资表明细!D:AQ,40,0),0)</f>
        <v>#N/A</v>
      </c>
      <c r="M74" s="89" t="e">
        <f>IF(F74="正常工资薪金",VLOOKUP(D74&amp;"*",工资表明细!D:AR,41,0),0)</f>
        <v>#N/A</v>
      </c>
      <c r="N74" s="89" t="e">
        <f>IF(F74="正常工资薪金",VLOOKUP(D74&amp;"*",工资表明细!D:AT,43,0),0)</f>
        <v>#N/A</v>
      </c>
      <c r="O74" s="89">
        <v>69</v>
      </c>
      <c r="P74" s="89">
        <v>69</v>
      </c>
      <c r="Q74" s="89">
        <v>69</v>
      </c>
      <c r="R74" s="89">
        <v>69</v>
      </c>
      <c r="S74" s="89">
        <v>69</v>
      </c>
      <c r="T74" s="89">
        <v>69</v>
      </c>
      <c r="U74" s="89">
        <v>69</v>
      </c>
      <c r="V74" s="89">
        <v>69</v>
      </c>
      <c r="W74" s="87" t="s">
        <v>272</v>
      </c>
      <c r="X74" s="89">
        <v>69</v>
      </c>
      <c r="Y74" s="87" t="s">
        <v>272</v>
      </c>
      <c r="Z74" s="87" t="s">
        <v>272</v>
      </c>
      <c r="AA74" s="87" t="s">
        <v>272</v>
      </c>
      <c r="AB74" s="89">
        <v>69</v>
      </c>
      <c r="AC74" s="89" t="e">
        <f t="shared" si="17"/>
        <v>#N/A</v>
      </c>
      <c r="AD74" s="89">
        <f t="shared" si="18"/>
        <v>5000</v>
      </c>
      <c r="AE74" s="89" t="e">
        <f t="shared" si="19"/>
        <v>#N/A</v>
      </c>
      <c r="AF74" s="89">
        <f t="shared" si="20"/>
        <v>0</v>
      </c>
      <c r="AG74" s="89">
        <f t="shared" si="21"/>
        <v>0</v>
      </c>
      <c r="AH74" s="89">
        <f t="shared" si="22"/>
        <v>0</v>
      </c>
      <c r="AI74" s="89">
        <f t="shared" si="23"/>
        <v>0</v>
      </c>
      <c r="AJ74" s="89">
        <f t="shared" si="24"/>
        <v>0</v>
      </c>
      <c r="AK74" s="89">
        <f t="shared" si="25"/>
        <v>0</v>
      </c>
      <c r="AL74" s="89">
        <v>0</v>
      </c>
      <c r="AM74" s="89">
        <v>0</v>
      </c>
      <c r="AN74" s="87" t="s">
        <v>273</v>
      </c>
      <c r="AO74" s="89">
        <v>0</v>
      </c>
      <c r="AP74" s="89" t="e">
        <f t="shared" si="26"/>
        <v>#N/A</v>
      </c>
      <c r="AQ74" s="89" t="e" cm="1">
        <f t="array" ref="AQ74">_xlfn.IFS(F74="正常工资薪金",VLOOKUP(AP74,{0,0.03;36000,0.1;144000,0.2;300000,0.25;420000,0.3;660000,0.35;960000,0.45},2,1),F74="一般劳务报酬所得",IF(AP74&lt;=20000,0.2,IF(AP74&lt;=50000,0.3,0.4)),F74="全年一次性奖金收入",VLOOKUP(AP74/12,{0,0.03;3000,0.1;12000,0.2;25000,0.25;35000,0.3;55000,0.35;80000,0.45},2,1),F74="解除劳动合同一次性补偿金",VLOOKUP(AP74,{0,0.03;36000,0.1;144000,0.2;300000,0.25;420000,0.3;660000,0.35;960000,0.45},2,1))</f>
        <v>#N/A</v>
      </c>
      <c r="AR74" s="89" t="e" cm="1">
        <f t="array" ref="AR74">_xlfn.IFS(F74="正常工资薪金",VLOOKUP(AP74,{0,0;36000,2520;144000,16920;300000,31920;420000,52920;660000,85920;960000,181920},2,1),F74="一般劳务报酬所得",IF(AP74&lt;=20000,0,IF(AS&lt;=50000,2000,7000)),F74="全年一次性奖金收入",VLOOKUP(AP74/12,{0,0;3000,210;12000,1410;25000,2660;35000,4410;55000,7160;80000,15160},2,1),F74="解除劳动合同一次性补偿金",VLOOKUP(AP74,{0,0;36000,2520;144000,16920;300000,31920;420000,52920;660000,85920;960000,181920},2,1))</f>
        <v>#N/A</v>
      </c>
      <c r="AS74" s="89" t="e">
        <f t="shared" si="27"/>
        <v>#N/A</v>
      </c>
      <c r="AT74" s="89">
        <v>0</v>
      </c>
      <c r="AU74" s="89">
        <f t="shared" si="28"/>
        <v>0</v>
      </c>
      <c r="AV74" s="89" t="e">
        <f t="shared" si="29"/>
        <v>#N/A</v>
      </c>
      <c r="AW74" s="87"/>
      <c r="AX74" s="90">
        <f>IFERROR(IF(F74="正常工资薪金",VLOOKUP(D74&amp;"*",个税上月累计情况!E:AL,26,0),0),0)</f>
        <v>0</v>
      </c>
      <c r="AY74" s="90">
        <f>IFERROR(IF(F74="正常工资薪金",VLOOKUP(D74&amp;"*",个税上月累计情况!E:AL,27,0),0),0)</f>
        <v>0</v>
      </c>
      <c r="AZ74" s="90">
        <f>IFERROR(IF(F74="正常工资薪金",VLOOKUP(D74&amp;"*",个税上月累计情况!E:AL,28,0),0),0)</f>
        <v>0</v>
      </c>
      <c r="BA74" s="90">
        <f>IFERROR(IF(F74="正常工资薪金",VLOOKUP(D74&amp;"*",个税上月累计情况!E:AL,29,0),0),0)</f>
        <v>0</v>
      </c>
      <c r="BB74" s="90">
        <f>IFERROR(IF(F74="正常工资薪金",VLOOKUP(D74&amp;"*",个税上月累计情况!E:AL,30,0),0),0)</f>
        <v>0</v>
      </c>
      <c r="BC74" s="90">
        <f>IFERROR(IF(F74="正常工资薪金",VLOOKUP(D74&amp;"*",个税上月累计情况!E:AL,31,0),0),0)</f>
        <v>0</v>
      </c>
      <c r="BD74" s="90">
        <f>IFERROR(IF(F74="正常工资薪金",VLOOKUP(D74&amp;"*",个税上月累计情况!E:AL,32,0),0),0)</f>
        <v>0</v>
      </c>
      <c r="BE74" s="90">
        <f>IFERROR(IF(F74="正常工资薪金",VLOOKUP(D74&amp;"*",个税上月累计情况!E:AL,33,0),0),0)</f>
        <v>0</v>
      </c>
      <c r="BF74" s="90">
        <f>IFERROR(IF(F74="正常工资薪金",VLOOKUP(D74&amp;"*",个税上月累计情况!E:AL,34,0),0),0)</f>
        <v>0</v>
      </c>
      <c r="BG74" s="90">
        <f>IFERROR(IF(F74="正常工资薪金",VLOOKUP(D74&amp;"*",个税上月累计情况!E:AN,35,0),0),0)</f>
        <v>0</v>
      </c>
      <c r="BH74" s="90">
        <f>IFERROR(IF(F74="正常工资薪金",VLOOKUP(D74&amp;"*",个税上月累计情况!E:AN,36,0),0),0)</f>
        <v>0</v>
      </c>
      <c r="BI74" s="90">
        <f>IFERROR(IF(F74="正常工资薪金",VLOOKUP(D74&amp;"*",个税上月累计情况!D:AW,46,0),0),0)</f>
        <v>0</v>
      </c>
      <c r="BJ74" s="90">
        <f>IFERROR(IF(F74="正常工资薪金",VLOOKUP(D74&amp;"*",个税上月累计情况!D:AX,47,0),0),0)</f>
        <v>0</v>
      </c>
      <c r="BK74" t="e">
        <f>VLOOKUP(B74,花名册!C:N,12,0)</f>
        <v>#N/A</v>
      </c>
    </row>
    <row r="75" ht="19.5" hidden="1" spans="1:63">
      <c r="A75" s="87"/>
      <c r="B75" s="87" t="s">
        <v>413</v>
      </c>
      <c r="C75" s="87" t="s">
        <v>268</v>
      </c>
      <c r="D75" s="87" t="s">
        <v>414</v>
      </c>
      <c r="E75" s="87" t="s">
        <v>270</v>
      </c>
      <c r="F75" s="87" t="s">
        <v>271</v>
      </c>
      <c r="G75" s="89" t="e" cm="1">
        <f t="array" ref="G75">_xlfn.IFS(F75="正常工资薪金",VLOOKUP(D75&amp;"*",工资表明细!D:BL,61,0),F75="一般劳务报酬所得",VLOOKUP(D75&amp;"*",工资表明细!D:BJ,59,0),F75="全年一次性奖金收入",VLOOKUP(D75&amp;"*",工资表明细!D:BI,58,0),F75="解除劳动合同一次性补偿金",VLOOKUP(D75&amp;"*",工资表明细!D:BH,57,0))</f>
        <v>#N/A</v>
      </c>
      <c r="H75" s="89">
        <f t="shared" si="15"/>
        <v>0</v>
      </c>
      <c r="I75" s="89">
        <v>0</v>
      </c>
      <c r="J75" s="89">
        <f t="shared" si="16"/>
        <v>5000</v>
      </c>
      <c r="K75" s="89" t="e">
        <f>IF(F75="正常工资薪金",VLOOKUP(D75&amp;"*",工资表明细!D:AP,39,0),0)</f>
        <v>#N/A</v>
      </c>
      <c r="L75" s="89" t="e">
        <f>IF(F75="正常工资薪金",VLOOKUP(D75&amp;"*",工资表明细!D:AQ,40,0),0)</f>
        <v>#N/A</v>
      </c>
      <c r="M75" s="89" t="e">
        <f>IF(F75="正常工资薪金",VLOOKUP(D75&amp;"*",工资表明细!D:AR,41,0),0)</f>
        <v>#N/A</v>
      </c>
      <c r="N75" s="89" t="e">
        <f>IF(F75="正常工资薪金",VLOOKUP(D75&amp;"*",工资表明细!D:AT,43,0),0)</f>
        <v>#N/A</v>
      </c>
      <c r="O75" s="89">
        <v>70</v>
      </c>
      <c r="P75" s="89">
        <v>70</v>
      </c>
      <c r="Q75" s="89">
        <v>70</v>
      </c>
      <c r="R75" s="89">
        <v>70</v>
      </c>
      <c r="S75" s="89">
        <v>70</v>
      </c>
      <c r="T75" s="89">
        <v>70</v>
      </c>
      <c r="U75" s="89">
        <v>70</v>
      </c>
      <c r="V75" s="89">
        <v>70</v>
      </c>
      <c r="W75" s="87" t="s">
        <v>272</v>
      </c>
      <c r="X75" s="89">
        <v>70</v>
      </c>
      <c r="Y75" s="87" t="s">
        <v>272</v>
      </c>
      <c r="Z75" s="87" t="s">
        <v>272</v>
      </c>
      <c r="AA75" s="87" t="s">
        <v>272</v>
      </c>
      <c r="AB75" s="89">
        <v>70</v>
      </c>
      <c r="AC75" s="89" t="e">
        <f t="shared" si="17"/>
        <v>#N/A</v>
      </c>
      <c r="AD75" s="89">
        <f t="shared" si="18"/>
        <v>65000</v>
      </c>
      <c r="AE75" s="89" t="e">
        <f t="shared" si="19"/>
        <v>#N/A</v>
      </c>
      <c r="AF75" s="89">
        <f t="shared" si="20"/>
        <v>0</v>
      </c>
      <c r="AG75" s="89">
        <f t="shared" si="21"/>
        <v>0</v>
      </c>
      <c r="AH75" s="89">
        <f t="shared" si="22"/>
        <v>0</v>
      </c>
      <c r="AI75" s="89">
        <f t="shared" si="23"/>
        <v>0</v>
      </c>
      <c r="AJ75" s="89">
        <f t="shared" si="24"/>
        <v>0</v>
      </c>
      <c r="AK75" s="89">
        <f t="shared" si="25"/>
        <v>0</v>
      </c>
      <c r="AL75" s="89">
        <v>0</v>
      </c>
      <c r="AM75" s="89">
        <v>0</v>
      </c>
      <c r="AN75" s="87" t="s">
        <v>273</v>
      </c>
      <c r="AO75" s="89">
        <v>0</v>
      </c>
      <c r="AP75" s="89" t="e">
        <f t="shared" si="26"/>
        <v>#N/A</v>
      </c>
      <c r="AQ75" s="89" t="e" cm="1">
        <f t="array" ref="AQ75">_xlfn.IFS(F75="正常工资薪金",VLOOKUP(AP75,{0,0.03;36000,0.1;144000,0.2;300000,0.25;420000,0.3;660000,0.35;960000,0.45},2,1),F75="一般劳务报酬所得",IF(AP75&lt;=20000,0.2,IF(AP75&lt;=50000,0.3,0.4)),F75="全年一次性奖金收入",VLOOKUP(AP75/12,{0,0.03;3000,0.1;12000,0.2;25000,0.25;35000,0.3;55000,0.35;80000,0.45},2,1),F75="解除劳动合同一次性补偿金",VLOOKUP(AP75,{0,0.03;36000,0.1;144000,0.2;300000,0.25;420000,0.3;660000,0.35;960000,0.45},2,1))</f>
        <v>#N/A</v>
      </c>
      <c r="AR75" s="89" t="e" cm="1">
        <f t="array" ref="AR75">_xlfn.IFS(F75="正常工资薪金",VLOOKUP(AP75,{0,0;36000,2520;144000,16920;300000,31920;420000,52920;660000,85920;960000,181920},2,1),F75="一般劳务报酬所得",IF(AP75&lt;=20000,0,IF(AS&lt;=50000,2000,7000)),F75="全年一次性奖金收入",VLOOKUP(AP75/12,{0,0;3000,210;12000,1410;25000,2660;35000,4410;55000,7160;80000,15160},2,1),F75="解除劳动合同一次性补偿金",VLOOKUP(AP75,{0,0;36000,2520;144000,16920;300000,31920;420000,52920;660000,85920;960000,181920},2,1))</f>
        <v>#N/A</v>
      </c>
      <c r="AS75" s="89" t="e">
        <f t="shared" si="27"/>
        <v>#N/A</v>
      </c>
      <c r="AT75" s="89">
        <v>0</v>
      </c>
      <c r="AU75" s="89">
        <f t="shared" si="28"/>
        <v>0</v>
      </c>
      <c r="AV75" s="89" t="e">
        <f t="shared" si="29"/>
        <v>#N/A</v>
      </c>
      <c r="AW75" s="87"/>
      <c r="AX75" s="90">
        <f>IFERROR(IF(F75="正常工资薪金",VLOOKUP(D75&amp;"*",个税上月累计情况!E:AL,26,0),0),0)</f>
        <v>26585.27</v>
      </c>
      <c r="AY75" s="90">
        <f>IFERROR(IF(F75="正常工资薪金",VLOOKUP(D75&amp;"*",个税上月累计情况!E:AL,27,0),0),0)</f>
        <v>60000</v>
      </c>
      <c r="AZ75" s="90">
        <f>IFERROR(IF(F75="正常工资薪金",VLOOKUP(D75&amp;"*",个税上月累计情况!E:AL,28,0),0),0)</f>
        <v>5285.07</v>
      </c>
      <c r="BA75" s="90">
        <f>IFERROR(IF(F75="正常工资薪金",VLOOKUP(D75&amp;"*",个税上月累计情况!E:AL,29,0),0),0)</f>
        <v>0</v>
      </c>
      <c r="BB75" s="90">
        <f>IFERROR(IF(F75="正常工资薪金",VLOOKUP(D75&amp;"*",个税上月累计情况!E:AL,30,0),0),0)</f>
        <v>0</v>
      </c>
      <c r="BC75" s="90">
        <f>IFERROR(IF(F75="正常工资薪金",VLOOKUP(D75&amp;"*",个税上月累计情况!E:AL,31,0),0),0)</f>
        <v>0</v>
      </c>
      <c r="BD75" s="90">
        <f>IFERROR(IF(F75="正常工资薪金",VLOOKUP(D75&amp;"*",个税上月累计情况!E:AL,32,0),0),0)</f>
        <v>0</v>
      </c>
      <c r="BE75" s="90">
        <f>IFERROR(IF(F75="正常工资薪金",VLOOKUP(D75&amp;"*",个税上月累计情况!E:AL,33,0),0),0)</f>
        <v>0</v>
      </c>
      <c r="BF75" s="90">
        <f>IFERROR(IF(F75="正常工资薪金",VLOOKUP(D75&amp;"*",个税上月累计情况!E:AL,34,0),0),0)</f>
        <v>0</v>
      </c>
      <c r="BG75" s="90">
        <f>IFERROR(IF(F75="正常工资薪金",VLOOKUP(D75&amp;"*",个税上月累计情况!E:AN,35,0),0),0)</f>
        <v>0</v>
      </c>
      <c r="BH75" s="90">
        <f>IFERROR(IF(F75="正常工资薪金",VLOOKUP(D75&amp;"*",个税上月累计情况!E:AN,36,0),0),0)</f>
        <v>0</v>
      </c>
      <c r="BI75" s="90">
        <f>IFERROR(IF(F75="正常工资薪金",VLOOKUP(D75&amp;"*",个税上月累计情况!D:AW,46,0),0),0)</f>
        <v>0</v>
      </c>
      <c r="BJ75" s="90">
        <f>IFERROR(IF(F75="正常工资薪金",VLOOKUP(D75&amp;"*",个税上月累计情况!D:AX,47,0),0),0)</f>
        <v>0</v>
      </c>
      <c r="BK75" t="e">
        <f>VLOOKUP(B75,花名册!C:N,12,0)</f>
        <v>#N/A</v>
      </c>
    </row>
    <row r="76" ht="19.5" hidden="1" spans="1:63">
      <c r="A76" s="87"/>
      <c r="B76" s="87" t="s">
        <v>415</v>
      </c>
      <c r="C76" s="87" t="s">
        <v>268</v>
      </c>
      <c r="D76" s="87" t="s">
        <v>416</v>
      </c>
      <c r="E76" s="87" t="s">
        <v>270</v>
      </c>
      <c r="F76" s="87" t="s">
        <v>417</v>
      </c>
      <c r="G76" s="89" t="e" cm="1">
        <f t="array" ref="G76">_xlfn.IFS(F76="正常工资薪金",VLOOKUP(D76&amp;"*",工资表明细!D:BL,61,0),F76="一般劳务报酬所得",VLOOKUP(D76&amp;"*",工资表明细!D:BJ,59,0),F76="全年一次性奖金收入",VLOOKUP(D76&amp;"*",工资表明细!D:BI,58,0),F76="解除劳动合同一次性补偿金",VLOOKUP(D76&amp;"*",工资表明细!D:BH,57,0))</f>
        <v>#N/A</v>
      </c>
      <c r="H76" s="89">
        <f t="shared" si="15"/>
        <v>800</v>
      </c>
      <c r="I76" s="89">
        <v>0</v>
      </c>
      <c r="J76" s="89">
        <f t="shared" si="16"/>
        <v>0</v>
      </c>
      <c r="K76" s="89">
        <f>IF(F76="正常工资薪金",VLOOKUP(D76&amp;"*",工资表明细!D:AP,39,0),0)</f>
        <v>0</v>
      </c>
      <c r="L76" s="89">
        <f>IF(F76="正常工资薪金",VLOOKUP(D76&amp;"*",工资表明细!D:AQ,40,0),0)</f>
        <v>0</v>
      </c>
      <c r="M76" s="89">
        <f>IF(F76="正常工资薪金",VLOOKUP(D76&amp;"*",工资表明细!D:AR,41,0),0)</f>
        <v>0</v>
      </c>
      <c r="N76" s="89">
        <f>IF(F76="正常工资薪金",VLOOKUP(D76&amp;"*",工资表明细!D:AT,43,0),0)</f>
        <v>0</v>
      </c>
      <c r="O76" s="89">
        <v>71</v>
      </c>
      <c r="P76" s="89">
        <v>71</v>
      </c>
      <c r="Q76" s="89">
        <v>71</v>
      </c>
      <c r="R76" s="89">
        <v>71</v>
      </c>
      <c r="S76" s="89">
        <v>71</v>
      </c>
      <c r="T76" s="89">
        <v>71</v>
      </c>
      <c r="U76" s="89">
        <v>71</v>
      </c>
      <c r="V76" s="89">
        <v>71</v>
      </c>
      <c r="W76" s="87" t="s">
        <v>272</v>
      </c>
      <c r="X76" s="89">
        <v>71</v>
      </c>
      <c r="Y76" s="87" t="s">
        <v>272</v>
      </c>
      <c r="Z76" s="87" t="s">
        <v>272</v>
      </c>
      <c r="AA76" s="87" t="s">
        <v>272</v>
      </c>
      <c r="AB76" s="89">
        <v>71</v>
      </c>
      <c r="AC76" s="89" t="str">
        <f t="shared" si="17"/>
        <v>-</v>
      </c>
      <c r="AD76" s="89" t="str">
        <f t="shared" si="18"/>
        <v>-</v>
      </c>
      <c r="AE76" s="89" t="str">
        <f t="shared" si="19"/>
        <v>-</v>
      </c>
      <c r="AF76" s="89">
        <f t="shared" si="20"/>
        <v>0</v>
      </c>
      <c r="AG76" s="89">
        <f t="shared" si="21"/>
        <v>0</v>
      </c>
      <c r="AH76" s="89">
        <f t="shared" si="22"/>
        <v>0</v>
      </c>
      <c r="AI76" s="89">
        <f t="shared" si="23"/>
        <v>0</v>
      </c>
      <c r="AJ76" s="89">
        <f t="shared" si="24"/>
        <v>0</v>
      </c>
      <c r="AK76" s="89">
        <f t="shared" si="25"/>
        <v>0</v>
      </c>
      <c r="AL76" s="89">
        <v>0</v>
      </c>
      <c r="AM76" s="89">
        <v>0</v>
      </c>
      <c r="AN76" s="87" t="s">
        <v>273</v>
      </c>
      <c r="AO76" s="89">
        <v>0</v>
      </c>
      <c r="AP76" s="89" t="e">
        <f t="shared" si="26"/>
        <v>#N/A</v>
      </c>
      <c r="AQ76" s="89" t="e" cm="1">
        <f t="array" ref="AQ76">_xlfn.IFS(F76="正常工资薪金",VLOOKUP(AP76,{0,0.03;36000,0.1;144000,0.2;300000,0.25;420000,0.3;660000,0.35;960000,0.45},2,1),F76="一般劳务报酬所得",IF(AP76&lt;=20000,0.2,IF(AP76&lt;=50000,0.3,0.4)),F76="全年一次性奖金收入",VLOOKUP(AP76/12,{0,0.03;3000,0.1;12000,0.2;25000,0.25;35000,0.3;55000,0.35;80000,0.45},2,1),F76="解除劳动合同一次性补偿金",VLOOKUP(AP76,{0,0.03;36000,0.1;144000,0.2;300000,0.25;420000,0.3;660000,0.35;960000,0.45},2,1))</f>
        <v>#N/A</v>
      </c>
      <c r="AR76" s="89" t="e" cm="1">
        <f t="array" ref="AR76">_xlfn.IFS(F76="正常工资薪金",VLOOKUP(AP76,{0,0;36000,2520;144000,16920;300000,31920;420000,52920;660000,85920;960000,181920},2,1),F76="一般劳务报酬所得",IF(AP76&lt;=20000,0,IF(AS&lt;=50000,2000,7000)),F76="全年一次性奖金收入",VLOOKUP(AP76/12,{0,0;3000,210;12000,1410;25000,2660;35000,4410;55000,7160;80000,15160},2,1),F76="解除劳动合同一次性补偿金",VLOOKUP(AP76,{0,0;36000,2520;144000,16920;300000,31920;420000,52920;660000,85920;960000,181920},2,1))</f>
        <v>#N/A</v>
      </c>
      <c r="AS76" s="89" t="e">
        <f t="shared" si="27"/>
        <v>#N/A</v>
      </c>
      <c r="AT76" s="89">
        <v>0</v>
      </c>
      <c r="AU76" s="89">
        <f t="shared" si="28"/>
        <v>0</v>
      </c>
      <c r="AV76" s="89" t="e">
        <f t="shared" si="29"/>
        <v>#N/A</v>
      </c>
      <c r="AW76" s="87"/>
      <c r="AX76" s="90">
        <f>IFERROR(IF(F76="正常工资薪金",VLOOKUP(D76&amp;"*",个税上月累计情况!E:AL,26,0),0),0)</f>
        <v>0</v>
      </c>
      <c r="AY76" s="90">
        <f>IFERROR(IF(F76="正常工资薪金",VLOOKUP(D76&amp;"*",个税上月累计情况!E:AL,27,0),0),0)</f>
        <v>0</v>
      </c>
      <c r="AZ76" s="90">
        <f>IFERROR(IF(F76="正常工资薪金",VLOOKUP(D76&amp;"*",个税上月累计情况!E:AL,28,0),0),0)</f>
        <v>0</v>
      </c>
      <c r="BA76" s="90">
        <f>IFERROR(IF(F76="正常工资薪金",VLOOKUP(D76&amp;"*",个税上月累计情况!E:AL,29,0),0),0)</f>
        <v>0</v>
      </c>
      <c r="BB76" s="90">
        <f>IFERROR(IF(F76="正常工资薪金",VLOOKUP(D76&amp;"*",个税上月累计情况!E:AL,30,0),0),0)</f>
        <v>0</v>
      </c>
      <c r="BC76" s="90">
        <f>IFERROR(IF(F76="正常工资薪金",VLOOKUP(D76&amp;"*",个税上月累计情况!E:AL,31,0),0),0)</f>
        <v>0</v>
      </c>
      <c r="BD76" s="90">
        <f>IFERROR(IF(F76="正常工资薪金",VLOOKUP(D76&amp;"*",个税上月累计情况!E:AL,32,0),0),0)</f>
        <v>0</v>
      </c>
      <c r="BE76" s="90">
        <f>IFERROR(IF(F76="正常工资薪金",VLOOKUP(D76&amp;"*",个税上月累计情况!E:AL,33,0),0),0)</f>
        <v>0</v>
      </c>
      <c r="BF76" s="90">
        <f>IFERROR(IF(F76="正常工资薪金",VLOOKUP(D76&amp;"*",个税上月累计情况!E:AL,34,0),0),0)</f>
        <v>0</v>
      </c>
      <c r="BG76" s="90">
        <f>IFERROR(IF(F76="正常工资薪金",VLOOKUP(D76&amp;"*",个税上月累计情况!E:AN,35,0),0),0)</f>
        <v>0</v>
      </c>
      <c r="BH76" s="90">
        <f>IFERROR(IF(F76="正常工资薪金",VLOOKUP(D76&amp;"*",个税上月累计情况!E:AN,36,0),0),0)</f>
        <v>0</v>
      </c>
      <c r="BI76" s="90">
        <f>IFERROR(IF(F76="正常工资薪金",VLOOKUP(D76&amp;"*",个税上月累计情况!D:AW,46,0),0),0)</f>
        <v>0</v>
      </c>
      <c r="BJ76" s="90">
        <f>IFERROR(IF(F76="正常工资薪金",VLOOKUP(D76&amp;"*",个税上月累计情况!D:AX,47,0),0),0)</f>
        <v>0</v>
      </c>
      <c r="BK76" t="e">
        <f>VLOOKUP(B76,花名册!C:N,12,0)</f>
        <v>#N/A</v>
      </c>
    </row>
    <row r="77" ht="19.5" hidden="1" spans="1:63">
      <c r="A77" s="87"/>
      <c r="B77" s="87" t="s">
        <v>418</v>
      </c>
      <c r="C77" s="87" t="s">
        <v>268</v>
      </c>
      <c r="D77" s="87" t="s">
        <v>419</v>
      </c>
      <c r="E77" s="87" t="s">
        <v>270</v>
      </c>
      <c r="F77" s="87" t="s">
        <v>417</v>
      </c>
      <c r="G77" s="89" t="e" cm="1">
        <f t="array" ref="G77">_xlfn.IFS(F77="正常工资薪金",VLOOKUP(D77&amp;"*",工资表明细!D:BL,61,0),F77="一般劳务报酬所得",VLOOKUP(D77&amp;"*",工资表明细!D:BJ,59,0),F77="全年一次性奖金收入",VLOOKUP(D77&amp;"*",工资表明细!D:BI,58,0),F77="解除劳动合同一次性补偿金",VLOOKUP(D77&amp;"*",工资表明细!D:BH,57,0))</f>
        <v>#N/A</v>
      </c>
      <c r="H77" s="89">
        <f t="shared" si="15"/>
        <v>800</v>
      </c>
      <c r="I77" s="89">
        <v>0</v>
      </c>
      <c r="J77" s="89">
        <f t="shared" si="16"/>
        <v>0</v>
      </c>
      <c r="K77" s="89">
        <f>IF(F77="正常工资薪金",VLOOKUP(D77&amp;"*",工资表明细!D:AP,39,0),0)</f>
        <v>0</v>
      </c>
      <c r="L77" s="89">
        <f>IF(F77="正常工资薪金",VLOOKUP(D77&amp;"*",工资表明细!D:AQ,40,0),0)</f>
        <v>0</v>
      </c>
      <c r="M77" s="89">
        <f>IF(F77="正常工资薪金",VLOOKUP(D77&amp;"*",工资表明细!D:AR,41,0),0)</f>
        <v>0</v>
      </c>
      <c r="N77" s="89">
        <f>IF(F77="正常工资薪金",VLOOKUP(D77&amp;"*",工资表明细!D:AT,43,0),0)</f>
        <v>0</v>
      </c>
      <c r="O77" s="89">
        <v>72</v>
      </c>
      <c r="P77" s="89">
        <v>72</v>
      </c>
      <c r="Q77" s="89">
        <v>72</v>
      </c>
      <c r="R77" s="89">
        <v>72</v>
      </c>
      <c r="S77" s="89">
        <v>72</v>
      </c>
      <c r="T77" s="89">
        <v>72</v>
      </c>
      <c r="U77" s="89">
        <v>72</v>
      </c>
      <c r="V77" s="89">
        <v>72</v>
      </c>
      <c r="W77" s="87" t="s">
        <v>272</v>
      </c>
      <c r="X77" s="89">
        <v>72</v>
      </c>
      <c r="Y77" s="87" t="s">
        <v>272</v>
      </c>
      <c r="Z77" s="87" t="s">
        <v>272</v>
      </c>
      <c r="AA77" s="87" t="s">
        <v>272</v>
      </c>
      <c r="AB77" s="89">
        <v>72</v>
      </c>
      <c r="AC77" s="89" t="str">
        <f t="shared" si="17"/>
        <v>-</v>
      </c>
      <c r="AD77" s="89" t="str">
        <f t="shared" si="18"/>
        <v>-</v>
      </c>
      <c r="AE77" s="89" t="str">
        <f t="shared" si="19"/>
        <v>-</v>
      </c>
      <c r="AF77" s="89">
        <f t="shared" si="20"/>
        <v>0</v>
      </c>
      <c r="AG77" s="89">
        <f t="shared" si="21"/>
        <v>0</v>
      </c>
      <c r="AH77" s="89">
        <f t="shared" si="22"/>
        <v>0</v>
      </c>
      <c r="AI77" s="89">
        <f t="shared" si="23"/>
        <v>0</v>
      </c>
      <c r="AJ77" s="89">
        <f t="shared" si="24"/>
        <v>0</v>
      </c>
      <c r="AK77" s="89">
        <f t="shared" si="25"/>
        <v>0</v>
      </c>
      <c r="AL77" s="89">
        <v>0</v>
      </c>
      <c r="AM77" s="89">
        <v>0</v>
      </c>
      <c r="AN77" s="87" t="s">
        <v>273</v>
      </c>
      <c r="AO77" s="89">
        <v>0</v>
      </c>
      <c r="AP77" s="89" t="e">
        <f t="shared" si="26"/>
        <v>#N/A</v>
      </c>
      <c r="AQ77" s="89" t="e" cm="1">
        <f t="array" ref="AQ77">_xlfn.IFS(F77="正常工资薪金",VLOOKUP(AP77,{0,0.03;36000,0.1;144000,0.2;300000,0.25;420000,0.3;660000,0.35;960000,0.45},2,1),F77="一般劳务报酬所得",IF(AP77&lt;=20000,0.2,IF(AP77&lt;=50000,0.3,0.4)),F77="全年一次性奖金收入",VLOOKUP(AP77/12,{0,0.03;3000,0.1;12000,0.2;25000,0.25;35000,0.3;55000,0.35;80000,0.45},2,1),F77="解除劳动合同一次性补偿金",VLOOKUP(AP77,{0,0.03;36000,0.1;144000,0.2;300000,0.25;420000,0.3;660000,0.35;960000,0.45},2,1))</f>
        <v>#N/A</v>
      </c>
      <c r="AR77" s="89" t="e" cm="1">
        <f t="array" ref="AR77">_xlfn.IFS(F77="正常工资薪金",VLOOKUP(AP77,{0,0;36000,2520;144000,16920;300000,31920;420000,52920;660000,85920;960000,181920},2,1),F77="一般劳务报酬所得",IF(AP77&lt;=20000,0,IF(AS&lt;=50000,2000,7000)),F77="全年一次性奖金收入",VLOOKUP(AP77/12,{0,0;3000,210;12000,1410;25000,2660;35000,4410;55000,7160;80000,15160},2,1),F77="解除劳动合同一次性补偿金",VLOOKUP(AP77,{0,0;36000,2520;144000,16920;300000,31920;420000,52920;660000,85920;960000,181920},2,1))</f>
        <v>#N/A</v>
      </c>
      <c r="AS77" s="89" t="e">
        <f t="shared" si="27"/>
        <v>#N/A</v>
      </c>
      <c r="AT77" s="89">
        <v>0</v>
      </c>
      <c r="AU77" s="89">
        <f t="shared" si="28"/>
        <v>0</v>
      </c>
      <c r="AV77" s="89" t="e">
        <f t="shared" si="29"/>
        <v>#N/A</v>
      </c>
      <c r="AW77" s="87"/>
      <c r="AX77" s="90">
        <f>IFERROR(IF(F77="正常工资薪金",VLOOKUP(D77&amp;"*",个税上月累计情况!E:AL,26,0),0),0)</f>
        <v>0</v>
      </c>
      <c r="AY77" s="90">
        <f>IFERROR(IF(F77="正常工资薪金",VLOOKUP(D77&amp;"*",个税上月累计情况!E:AL,27,0),0),0)</f>
        <v>0</v>
      </c>
      <c r="AZ77" s="90">
        <f>IFERROR(IF(F77="正常工资薪金",VLOOKUP(D77&amp;"*",个税上月累计情况!E:AL,28,0),0),0)</f>
        <v>0</v>
      </c>
      <c r="BA77" s="90">
        <f>IFERROR(IF(F77="正常工资薪金",VLOOKUP(D77&amp;"*",个税上月累计情况!E:AL,29,0),0),0)</f>
        <v>0</v>
      </c>
      <c r="BB77" s="90">
        <f>IFERROR(IF(F77="正常工资薪金",VLOOKUP(D77&amp;"*",个税上月累计情况!E:AL,30,0),0),0)</f>
        <v>0</v>
      </c>
      <c r="BC77" s="90">
        <f>IFERROR(IF(F77="正常工资薪金",VLOOKUP(D77&amp;"*",个税上月累计情况!E:AL,31,0),0),0)</f>
        <v>0</v>
      </c>
      <c r="BD77" s="90">
        <f>IFERROR(IF(F77="正常工资薪金",VLOOKUP(D77&amp;"*",个税上月累计情况!E:AL,32,0),0),0)</f>
        <v>0</v>
      </c>
      <c r="BE77" s="90">
        <f>IFERROR(IF(F77="正常工资薪金",VLOOKUP(D77&amp;"*",个税上月累计情况!E:AL,33,0),0),0)</f>
        <v>0</v>
      </c>
      <c r="BF77" s="90">
        <f>IFERROR(IF(F77="正常工资薪金",VLOOKUP(D77&amp;"*",个税上月累计情况!E:AL,34,0),0),0)</f>
        <v>0</v>
      </c>
      <c r="BG77" s="90">
        <f>IFERROR(IF(F77="正常工资薪金",VLOOKUP(D77&amp;"*",个税上月累计情况!E:AN,35,0),0),0)</f>
        <v>0</v>
      </c>
      <c r="BH77" s="90">
        <f>IFERROR(IF(F77="正常工资薪金",VLOOKUP(D77&amp;"*",个税上月累计情况!E:AN,36,0),0),0)</f>
        <v>0</v>
      </c>
      <c r="BI77" s="90">
        <f>IFERROR(IF(F77="正常工资薪金",VLOOKUP(D77&amp;"*",个税上月累计情况!D:AW,46,0),0),0)</f>
        <v>0</v>
      </c>
      <c r="BJ77" s="90">
        <f>IFERROR(IF(F77="正常工资薪金",VLOOKUP(D77&amp;"*",个税上月累计情况!D:AX,47,0),0),0)</f>
        <v>0</v>
      </c>
      <c r="BK77" t="e">
        <f>VLOOKUP(B77,花名册!C:N,12,0)</f>
        <v>#N/A</v>
      </c>
    </row>
    <row r="78" ht="19.5" hidden="1" spans="1:63">
      <c r="A78" s="87"/>
      <c r="B78" s="87" t="s">
        <v>420</v>
      </c>
      <c r="C78" s="87" t="s">
        <v>268</v>
      </c>
      <c r="D78" s="87" t="s">
        <v>421</v>
      </c>
      <c r="E78" s="87" t="s">
        <v>270</v>
      </c>
      <c r="F78" s="87" t="s">
        <v>417</v>
      </c>
      <c r="G78" s="89" t="e" cm="1">
        <f t="array" ref="G78">_xlfn.IFS(F78="正常工资薪金",VLOOKUP(D78&amp;"*",工资表明细!D:BL,61,0),F78="一般劳务报酬所得",VLOOKUP(D78&amp;"*",工资表明细!D:BJ,59,0),F78="全年一次性奖金收入",VLOOKUP(D78&amp;"*",工资表明细!D:BI,58,0),F78="解除劳动合同一次性补偿金",VLOOKUP(D78&amp;"*",工资表明细!D:BH,57,0))</f>
        <v>#N/A</v>
      </c>
      <c r="H78" s="89">
        <f t="shared" si="15"/>
        <v>800</v>
      </c>
      <c r="I78" s="89">
        <v>0</v>
      </c>
      <c r="J78" s="89">
        <f t="shared" si="16"/>
        <v>0</v>
      </c>
      <c r="K78" s="89">
        <f>IF(F78="正常工资薪金",VLOOKUP(D78&amp;"*",工资表明细!D:AP,39,0),0)</f>
        <v>0</v>
      </c>
      <c r="L78" s="89">
        <f>IF(F78="正常工资薪金",VLOOKUP(D78&amp;"*",工资表明细!D:AQ,40,0),0)</f>
        <v>0</v>
      </c>
      <c r="M78" s="89">
        <f>IF(F78="正常工资薪金",VLOOKUP(D78&amp;"*",工资表明细!D:AR,41,0),0)</f>
        <v>0</v>
      </c>
      <c r="N78" s="89">
        <f>IF(F78="正常工资薪金",VLOOKUP(D78&amp;"*",工资表明细!D:AT,43,0),0)</f>
        <v>0</v>
      </c>
      <c r="O78" s="89">
        <v>73</v>
      </c>
      <c r="P78" s="89">
        <v>73</v>
      </c>
      <c r="Q78" s="89">
        <v>73</v>
      </c>
      <c r="R78" s="89">
        <v>73</v>
      </c>
      <c r="S78" s="89">
        <v>73</v>
      </c>
      <c r="T78" s="89">
        <v>73</v>
      </c>
      <c r="U78" s="89">
        <v>73</v>
      </c>
      <c r="V78" s="89">
        <v>73</v>
      </c>
      <c r="W78" s="87" t="s">
        <v>272</v>
      </c>
      <c r="X78" s="89">
        <v>73</v>
      </c>
      <c r="Y78" s="87" t="s">
        <v>272</v>
      </c>
      <c r="Z78" s="87" t="s">
        <v>272</v>
      </c>
      <c r="AA78" s="87" t="s">
        <v>272</v>
      </c>
      <c r="AB78" s="89">
        <v>73</v>
      </c>
      <c r="AC78" s="89" t="str">
        <f t="shared" si="17"/>
        <v>-</v>
      </c>
      <c r="AD78" s="89" t="str">
        <f t="shared" si="18"/>
        <v>-</v>
      </c>
      <c r="AE78" s="89" t="str">
        <f t="shared" si="19"/>
        <v>-</v>
      </c>
      <c r="AF78" s="89">
        <f t="shared" si="20"/>
        <v>0</v>
      </c>
      <c r="AG78" s="89">
        <f t="shared" si="21"/>
        <v>0</v>
      </c>
      <c r="AH78" s="89">
        <f t="shared" si="22"/>
        <v>0</v>
      </c>
      <c r="AI78" s="89">
        <f t="shared" si="23"/>
        <v>0</v>
      </c>
      <c r="AJ78" s="89">
        <f t="shared" si="24"/>
        <v>0</v>
      </c>
      <c r="AK78" s="89">
        <f t="shared" si="25"/>
        <v>0</v>
      </c>
      <c r="AL78" s="89">
        <v>0</v>
      </c>
      <c r="AM78" s="89">
        <v>0</v>
      </c>
      <c r="AN78" s="87" t="s">
        <v>273</v>
      </c>
      <c r="AO78" s="89">
        <v>0</v>
      </c>
      <c r="AP78" s="89" t="e">
        <f t="shared" si="26"/>
        <v>#N/A</v>
      </c>
      <c r="AQ78" s="89" t="e" cm="1">
        <f t="array" ref="AQ78">_xlfn.IFS(F78="正常工资薪金",VLOOKUP(AP78,{0,0.03;36000,0.1;144000,0.2;300000,0.25;420000,0.3;660000,0.35;960000,0.45},2,1),F78="一般劳务报酬所得",IF(AP78&lt;=20000,0.2,IF(AP78&lt;=50000,0.3,0.4)),F78="全年一次性奖金收入",VLOOKUP(AP78/12,{0,0.03;3000,0.1;12000,0.2;25000,0.25;35000,0.3;55000,0.35;80000,0.45},2,1),F78="解除劳动合同一次性补偿金",VLOOKUP(AP78,{0,0.03;36000,0.1;144000,0.2;300000,0.25;420000,0.3;660000,0.35;960000,0.45},2,1))</f>
        <v>#N/A</v>
      </c>
      <c r="AR78" s="89" t="e" cm="1">
        <f t="array" ref="AR78">_xlfn.IFS(F78="正常工资薪金",VLOOKUP(AP78,{0,0;36000,2520;144000,16920;300000,31920;420000,52920;660000,85920;960000,181920},2,1),F78="一般劳务报酬所得",IF(AP78&lt;=20000,0,IF(AS&lt;=50000,2000,7000)),F78="全年一次性奖金收入",VLOOKUP(AP78/12,{0,0;3000,210;12000,1410;25000,2660;35000,4410;55000,7160;80000,15160},2,1),F78="解除劳动合同一次性补偿金",VLOOKUP(AP78,{0,0;36000,2520;144000,16920;300000,31920;420000,52920;660000,85920;960000,181920},2,1))</f>
        <v>#N/A</v>
      </c>
      <c r="AS78" s="89" t="e">
        <f t="shared" si="27"/>
        <v>#N/A</v>
      </c>
      <c r="AT78" s="89">
        <v>0</v>
      </c>
      <c r="AU78" s="89">
        <f t="shared" si="28"/>
        <v>0</v>
      </c>
      <c r="AV78" s="89" t="e">
        <f t="shared" si="29"/>
        <v>#N/A</v>
      </c>
      <c r="AW78" s="87"/>
      <c r="AX78" s="90">
        <f>IFERROR(IF(F78="正常工资薪金",VLOOKUP(D78&amp;"*",个税上月累计情况!E:AL,26,0),0),0)</f>
        <v>0</v>
      </c>
      <c r="AY78" s="90">
        <f>IFERROR(IF(F78="正常工资薪金",VLOOKUP(D78&amp;"*",个税上月累计情况!E:AL,27,0),0),0)</f>
        <v>0</v>
      </c>
      <c r="AZ78" s="90">
        <f>IFERROR(IF(F78="正常工资薪金",VLOOKUP(D78&amp;"*",个税上月累计情况!E:AL,28,0),0),0)</f>
        <v>0</v>
      </c>
      <c r="BA78" s="90">
        <f>IFERROR(IF(F78="正常工资薪金",VLOOKUP(D78&amp;"*",个税上月累计情况!E:AL,29,0),0),0)</f>
        <v>0</v>
      </c>
      <c r="BB78" s="90">
        <f>IFERROR(IF(F78="正常工资薪金",VLOOKUP(D78&amp;"*",个税上月累计情况!E:AL,30,0),0),0)</f>
        <v>0</v>
      </c>
      <c r="BC78" s="90">
        <f>IFERROR(IF(F78="正常工资薪金",VLOOKUP(D78&amp;"*",个税上月累计情况!E:AL,31,0),0),0)</f>
        <v>0</v>
      </c>
      <c r="BD78" s="90">
        <f>IFERROR(IF(F78="正常工资薪金",VLOOKUP(D78&amp;"*",个税上月累计情况!E:AL,32,0),0),0)</f>
        <v>0</v>
      </c>
      <c r="BE78" s="90">
        <f>IFERROR(IF(F78="正常工资薪金",VLOOKUP(D78&amp;"*",个税上月累计情况!E:AL,33,0),0),0)</f>
        <v>0</v>
      </c>
      <c r="BF78" s="90">
        <f>IFERROR(IF(F78="正常工资薪金",VLOOKUP(D78&amp;"*",个税上月累计情况!E:AL,34,0),0),0)</f>
        <v>0</v>
      </c>
      <c r="BG78" s="90">
        <f>IFERROR(IF(F78="正常工资薪金",VLOOKUP(D78&amp;"*",个税上月累计情况!E:AN,35,0),0),0)</f>
        <v>0</v>
      </c>
      <c r="BH78" s="90">
        <f>IFERROR(IF(F78="正常工资薪金",VLOOKUP(D78&amp;"*",个税上月累计情况!E:AN,36,0),0),0)</f>
        <v>0</v>
      </c>
      <c r="BI78" s="90">
        <f>IFERROR(IF(F78="正常工资薪金",VLOOKUP(D78&amp;"*",个税上月累计情况!D:AW,46,0),0),0)</f>
        <v>0</v>
      </c>
      <c r="BJ78" s="90">
        <f>IFERROR(IF(F78="正常工资薪金",VLOOKUP(D78&amp;"*",个税上月累计情况!D:AX,47,0),0),0)</f>
        <v>0</v>
      </c>
      <c r="BK78" t="e">
        <f>VLOOKUP(B78,花名册!C:N,12,0)</f>
        <v>#N/A</v>
      </c>
    </row>
  </sheetData>
  <autoFilter xmlns:etc="http://www.wps.cn/officeDocument/2017/etCustomData" ref="A4:BK78" etc:filterBottomFollowUsedRange="0">
    <filterColumn colId="1">
      <customFilters>
        <customFilter operator="equal" val="黄晶"/>
      </customFilters>
    </filterColumn>
    <extLst/>
  </autoFilter>
  <mergeCells count="36">
    <mergeCell ref="G2:AB2"/>
    <mergeCell ref="AC2:AM2"/>
    <mergeCell ref="AP2:AV2"/>
    <mergeCell ref="AX2:BH2"/>
    <mergeCell ref="G3:I3"/>
    <mergeCell ref="K3:N3"/>
    <mergeCell ref="O3:AB3"/>
    <mergeCell ref="AF3:AK3"/>
    <mergeCell ref="BA3:BF3"/>
    <mergeCell ref="A2:A4"/>
    <mergeCell ref="B2:B4"/>
    <mergeCell ref="C2:C4"/>
    <mergeCell ref="D2:D4"/>
    <mergeCell ref="E2:E4"/>
    <mergeCell ref="F2:F4"/>
    <mergeCell ref="J3:J4"/>
    <mergeCell ref="AC3:AC4"/>
    <mergeCell ref="AD3:AD4"/>
    <mergeCell ref="AE3:AE4"/>
    <mergeCell ref="AL3:AL4"/>
    <mergeCell ref="AM3:AM4"/>
    <mergeCell ref="AN2:AN4"/>
    <mergeCell ref="AO2:AO4"/>
    <mergeCell ref="AP3:AP4"/>
    <mergeCell ref="AQ3:AQ4"/>
    <mergeCell ref="AR3:AR4"/>
    <mergeCell ref="AS3:AS4"/>
    <mergeCell ref="AT3:AT4"/>
    <mergeCell ref="AU3:AU4"/>
    <mergeCell ref="AV3:AV4"/>
    <mergeCell ref="AW2:AW4"/>
    <mergeCell ref="AX3:AX4"/>
    <mergeCell ref="AY3:AY4"/>
    <mergeCell ref="AZ3:AZ4"/>
    <mergeCell ref="BG3:BG4"/>
    <mergeCell ref="BH3:BH4"/>
  </mergeCells>
  <dataValidations count="3">
    <dataValidation allowBlank="1" showInputMessage="1" showErrorMessage="1" prompt="填报综合所得的个人，系统默认为居民个人，请核对。" sqref="E2:E4"/>
    <dataValidation type="list" allowBlank="1" showInputMessage="1" showErrorMessage="1" sqref="F5:F78">
      <formula1>"正常工资薪金,一般劳务报酬所得,全年一次性奖金收入,解除劳动合同一次性补偿金"</formula1>
    </dataValidation>
    <dataValidation allowBlank="1" showInputMessage="1" showErrorMessage="1" prompt="累计收入额=累计收入-累计费用-累计免税收入" sqref="AC3:AC4 AX3:AX4"/>
  </dataValidation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5"/>
  <sheetViews>
    <sheetView topLeftCell="A2" workbookViewId="0">
      <selection activeCell="J29" sqref="J29"/>
    </sheetView>
  </sheetViews>
  <sheetFormatPr defaultColWidth="9" defaultRowHeight="13.5"/>
  <cols>
    <col min="1" max="1" width="5.12389380530973" customWidth="1"/>
    <col min="2" max="2" width="3.87610619469027" customWidth="1"/>
    <col min="3" max="4" width="7.12389380530973" customWidth="1"/>
    <col min="5" max="5" width="10.3716814159292" customWidth="1"/>
    <col min="6" max="6" width="12" style="90" customWidth="1"/>
    <col min="7" max="7" width="12.1238938053097" style="90" customWidth="1"/>
    <col min="8" max="8" width="7.3716814159292" style="90" customWidth="1"/>
    <col min="9" max="9" width="8" customWidth="1"/>
    <col min="10" max="10" width="12" style="90" customWidth="1"/>
    <col min="11" max="11" width="8.75221238938053" customWidth="1"/>
    <col min="12" max="12" width="19.1238938053097" customWidth="1"/>
    <col min="13" max="13" width="12.8761061946903" style="90" customWidth="1"/>
    <col min="14" max="14" width="10.8761061946903" style="90" customWidth="1"/>
    <col min="15" max="15" width="8.12389380530973" style="90" customWidth="1"/>
    <col min="16" max="16" width="10" style="90" customWidth="1"/>
    <col min="17" max="17" width="9.3716814159292" style="90" customWidth="1"/>
  </cols>
  <sheetData>
    <row r="1" ht="40.5" spans="1:17">
      <c r="A1" s="91" t="s">
        <v>1</v>
      </c>
      <c r="B1" s="91" t="s">
        <v>422</v>
      </c>
      <c r="C1" s="91" t="s">
        <v>423</v>
      </c>
      <c r="D1" s="92" t="s">
        <v>424</v>
      </c>
      <c r="E1" s="91" t="s">
        <v>425</v>
      </c>
      <c r="F1" s="93" t="s">
        <v>426</v>
      </c>
      <c r="G1" s="93" t="s">
        <v>427</v>
      </c>
      <c r="H1" s="93" t="s">
        <v>428</v>
      </c>
      <c r="I1" s="94" t="s">
        <v>429</v>
      </c>
      <c r="J1" s="95" t="s">
        <v>430</v>
      </c>
      <c r="K1" s="96" t="s">
        <v>431</v>
      </c>
      <c r="L1" s="96" t="s">
        <v>51</v>
      </c>
      <c r="M1" s="97" t="s">
        <v>52</v>
      </c>
      <c r="N1" s="97" t="s">
        <v>53</v>
      </c>
      <c r="O1" s="98" t="s">
        <v>432</v>
      </c>
      <c r="P1" s="98" t="s">
        <v>433</v>
      </c>
      <c r="Q1" s="99" t="s">
        <v>434</v>
      </c>
    </row>
    <row r="2" spans="1:17">
      <c r="A2" s="75" t="s">
        <v>15</v>
      </c>
      <c r="B2" s="75"/>
      <c r="C2" s="75"/>
      <c r="D2" s="75"/>
      <c r="E2" s="75" t="s">
        <v>267</v>
      </c>
      <c r="F2" s="100" t="e">
        <f>VLOOKUP(E2,工资表明细!C:AF,30,0)</f>
        <v>#N/A</v>
      </c>
      <c r="G2" s="100" t="e">
        <f>F2*8</f>
        <v>#N/A</v>
      </c>
      <c r="H2" s="100" t="e">
        <f>ROUND(J2/G2,2)</f>
        <v>#N/A</v>
      </c>
      <c r="I2" s="75"/>
      <c r="J2" s="100" t="e">
        <f>VLOOKUP(E2,工资表明细!C:BF,56,0)</f>
        <v>#N/A</v>
      </c>
      <c r="K2" s="75"/>
      <c r="L2" s="75" t="e">
        <f>VLOOKUP(E2,工资表明细!C:J,6,0)</f>
        <v>#N/A</v>
      </c>
      <c r="M2" s="100" t="e">
        <f>VLOOKUP(E2,工资表明细!C:J,7,0)</f>
        <v>#N/A</v>
      </c>
      <c r="N2" s="100" t="e">
        <f>VLOOKUP(E2,工资表明细!C:J,8,0)</f>
        <v>#N/A</v>
      </c>
      <c r="O2" s="100"/>
      <c r="P2" s="100" t="e">
        <f>O2*H2</f>
        <v>#N/A</v>
      </c>
      <c r="Q2" s="100" t="e">
        <f>J2-P2</f>
        <v>#N/A</v>
      </c>
    </row>
    <row r="3" spans="1:17">
      <c r="A3" s="75" t="s">
        <v>11</v>
      </c>
      <c r="B3" s="75"/>
      <c r="C3" s="75"/>
      <c r="D3" s="75"/>
      <c r="E3" s="75" t="s">
        <v>275</v>
      </c>
      <c r="F3" s="100" t="e">
        <f>VLOOKUP(E3,工资表明细!C:AF,30,0)</f>
        <v>#N/A</v>
      </c>
      <c r="G3" s="100" t="e">
        <f t="shared" ref="G3:G34" si="0">F3*8</f>
        <v>#N/A</v>
      </c>
      <c r="H3" s="100" t="e">
        <f t="shared" ref="H3:H34" si="1">ROUND(J3/G3,2)</f>
        <v>#N/A</v>
      </c>
      <c r="I3" s="75"/>
      <c r="J3" s="100" t="e">
        <f>VLOOKUP(E3,工资表明细!C:BF,56,0)</f>
        <v>#N/A</v>
      </c>
      <c r="K3" s="75"/>
      <c r="L3" s="75" t="e">
        <f>VLOOKUP(E3,工资表明细!C:J,6,0)</f>
        <v>#N/A</v>
      </c>
      <c r="M3" s="100" t="e">
        <f>VLOOKUP(E3,工资表明细!C:J,7,0)</f>
        <v>#N/A</v>
      </c>
      <c r="N3" s="100" t="e">
        <f>VLOOKUP(E3,工资表明细!C:J,8,0)</f>
        <v>#N/A</v>
      </c>
      <c r="O3" s="100"/>
      <c r="P3" s="100" t="e">
        <f t="shared" ref="P3:P34" si="2">O3*H3</f>
        <v>#N/A</v>
      </c>
      <c r="Q3" s="100" t="e">
        <f t="shared" ref="Q3:Q34" si="3">J3-P3</f>
        <v>#N/A</v>
      </c>
    </row>
    <row r="4" spans="1:17">
      <c r="A4" s="75" t="s">
        <v>15</v>
      </c>
      <c r="B4" s="75"/>
      <c r="C4" s="75"/>
      <c r="D4" s="75"/>
      <c r="E4" s="75" t="s">
        <v>277</v>
      </c>
      <c r="F4" s="100" t="e">
        <f>VLOOKUP(E4,工资表明细!C:AF,30,0)</f>
        <v>#N/A</v>
      </c>
      <c r="G4" s="100" t="e">
        <f t="shared" si="0"/>
        <v>#N/A</v>
      </c>
      <c r="H4" s="100" t="e">
        <f t="shared" si="1"/>
        <v>#N/A</v>
      </c>
      <c r="I4" s="75"/>
      <c r="J4" s="100" t="e">
        <f>VLOOKUP(E4,工资表明细!C:BF,56,0)</f>
        <v>#N/A</v>
      </c>
      <c r="K4" s="75"/>
      <c r="L4" s="75" t="e">
        <f>VLOOKUP(E4,工资表明细!C:J,6,0)</f>
        <v>#N/A</v>
      </c>
      <c r="M4" s="100" t="e">
        <f>VLOOKUP(E4,工资表明细!C:J,7,0)</f>
        <v>#N/A</v>
      </c>
      <c r="N4" s="100" t="e">
        <f>VLOOKUP(E4,工资表明细!C:J,8,0)</f>
        <v>#N/A</v>
      </c>
      <c r="O4" s="100"/>
      <c r="P4" s="100" t="e">
        <f t="shared" si="2"/>
        <v>#N/A</v>
      </c>
      <c r="Q4" s="100" t="e">
        <f t="shared" si="3"/>
        <v>#N/A</v>
      </c>
    </row>
    <row r="5" spans="1:17">
      <c r="A5" s="75" t="s">
        <v>11</v>
      </c>
      <c r="B5" s="75"/>
      <c r="C5" s="75"/>
      <c r="D5" s="75"/>
      <c r="E5" s="75" t="s">
        <v>279</v>
      </c>
      <c r="F5" s="100" t="e">
        <f>VLOOKUP(E5,工资表明细!C:AF,30,0)</f>
        <v>#N/A</v>
      </c>
      <c r="G5" s="100" t="e">
        <f t="shared" si="0"/>
        <v>#N/A</v>
      </c>
      <c r="H5" s="100" t="e">
        <f t="shared" si="1"/>
        <v>#N/A</v>
      </c>
      <c r="I5" s="75"/>
      <c r="J5" s="100" t="e">
        <f>VLOOKUP(E5,工资表明细!C:BF,56,0)</f>
        <v>#N/A</v>
      </c>
      <c r="K5" s="75"/>
      <c r="L5" s="75" t="e">
        <f>VLOOKUP(E5,工资表明细!C:J,6,0)</f>
        <v>#N/A</v>
      </c>
      <c r="M5" s="100" t="e">
        <f>VLOOKUP(E5,工资表明细!C:J,7,0)</f>
        <v>#N/A</v>
      </c>
      <c r="N5" s="100" t="e">
        <f>VLOOKUP(E5,工资表明细!C:J,8,0)</f>
        <v>#N/A</v>
      </c>
      <c r="O5" s="100"/>
      <c r="P5" s="100" t="e">
        <f t="shared" si="2"/>
        <v>#N/A</v>
      </c>
      <c r="Q5" s="100" t="e">
        <f t="shared" si="3"/>
        <v>#N/A</v>
      </c>
    </row>
    <row r="6" spans="1:17">
      <c r="A6" s="75" t="s">
        <v>11</v>
      </c>
      <c r="B6" s="75"/>
      <c r="C6" s="75"/>
      <c r="D6" s="75"/>
      <c r="E6" s="75" t="s">
        <v>281</v>
      </c>
      <c r="F6" s="100" t="e">
        <f>VLOOKUP(E6,工资表明细!C:AF,30,0)</f>
        <v>#N/A</v>
      </c>
      <c r="G6" s="100" t="e">
        <f t="shared" si="0"/>
        <v>#N/A</v>
      </c>
      <c r="H6" s="100" t="e">
        <f t="shared" si="1"/>
        <v>#N/A</v>
      </c>
      <c r="I6" s="75"/>
      <c r="J6" s="100" t="e">
        <f>VLOOKUP(E6,工资表明细!C:BF,56,0)</f>
        <v>#N/A</v>
      </c>
      <c r="K6" s="75"/>
      <c r="L6" s="75" t="e">
        <f>VLOOKUP(E6,工资表明细!C:J,6,0)</f>
        <v>#N/A</v>
      </c>
      <c r="M6" s="100" t="e">
        <f>VLOOKUP(E6,工资表明细!C:J,7,0)</f>
        <v>#N/A</v>
      </c>
      <c r="N6" s="100" t="e">
        <f>VLOOKUP(E6,工资表明细!C:J,8,0)</f>
        <v>#N/A</v>
      </c>
      <c r="O6" s="100"/>
      <c r="P6" s="100" t="e">
        <f t="shared" si="2"/>
        <v>#N/A</v>
      </c>
      <c r="Q6" s="100" t="e">
        <f t="shared" si="3"/>
        <v>#N/A</v>
      </c>
    </row>
    <row r="7" spans="1:17">
      <c r="A7" s="75" t="s">
        <v>15</v>
      </c>
      <c r="B7" s="75"/>
      <c r="C7" s="75"/>
      <c r="D7" s="75"/>
      <c r="E7" s="75" t="s">
        <v>283</v>
      </c>
      <c r="F7" s="100" t="e">
        <f>VLOOKUP(E7,工资表明细!C:AF,30,0)</f>
        <v>#N/A</v>
      </c>
      <c r="G7" s="100" t="e">
        <f t="shared" si="0"/>
        <v>#N/A</v>
      </c>
      <c r="H7" s="100" t="e">
        <f t="shared" si="1"/>
        <v>#N/A</v>
      </c>
      <c r="I7" s="75"/>
      <c r="J7" s="100" t="e">
        <f>VLOOKUP(E7,工资表明细!C:BF,56,0)</f>
        <v>#N/A</v>
      </c>
      <c r="K7" s="75"/>
      <c r="L7" s="75" t="e">
        <f>VLOOKUP(E7,工资表明细!C:J,6,0)</f>
        <v>#N/A</v>
      </c>
      <c r="M7" s="100" t="e">
        <f>VLOOKUP(E7,工资表明细!C:J,7,0)</f>
        <v>#N/A</v>
      </c>
      <c r="N7" s="100" t="e">
        <f>VLOOKUP(E7,工资表明细!C:J,8,0)</f>
        <v>#N/A</v>
      </c>
      <c r="O7" s="100"/>
      <c r="P7" s="100" t="e">
        <f t="shared" si="2"/>
        <v>#N/A</v>
      </c>
      <c r="Q7" s="100" t="e">
        <f t="shared" si="3"/>
        <v>#N/A</v>
      </c>
    </row>
    <row r="8" spans="1:17">
      <c r="A8" s="75" t="s">
        <v>15</v>
      </c>
      <c r="B8" s="75"/>
      <c r="C8" s="75"/>
      <c r="D8" s="75"/>
      <c r="E8" s="75" t="s">
        <v>285</v>
      </c>
      <c r="F8" s="100" t="e">
        <f>VLOOKUP(E8,工资表明细!C:AF,30,0)</f>
        <v>#N/A</v>
      </c>
      <c r="G8" s="100" t="e">
        <f t="shared" si="0"/>
        <v>#N/A</v>
      </c>
      <c r="H8" s="100" t="e">
        <f t="shared" si="1"/>
        <v>#N/A</v>
      </c>
      <c r="I8" s="75"/>
      <c r="J8" s="100" t="e">
        <f>VLOOKUP(E8,工资表明细!C:BF,56,0)</f>
        <v>#N/A</v>
      </c>
      <c r="K8" s="75"/>
      <c r="L8" s="75" t="e">
        <f>VLOOKUP(E8,工资表明细!C:J,6,0)</f>
        <v>#N/A</v>
      </c>
      <c r="M8" s="100" t="e">
        <f>VLOOKUP(E8,工资表明细!C:J,7,0)</f>
        <v>#N/A</v>
      </c>
      <c r="N8" s="100" t="e">
        <f>VLOOKUP(E8,工资表明细!C:J,8,0)</f>
        <v>#N/A</v>
      </c>
      <c r="O8" s="100"/>
      <c r="P8" s="100" t="e">
        <f t="shared" si="2"/>
        <v>#N/A</v>
      </c>
      <c r="Q8" s="100" t="e">
        <f t="shared" si="3"/>
        <v>#N/A</v>
      </c>
    </row>
    <row r="9" spans="1:17">
      <c r="A9" s="75" t="s">
        <v>19</v>
      </c>
      <c r="B9" s="75"/>
      <c r="C9" s="75"/>
      <c r="D9" s="75"/>
      <c r="E9" s="75" t="s">
        <v>287</v>
      </c>
      <c r="F9" s="100" t="e">
        <f>VLOOKUP(E9,工资表明细!C:AF,30,0)</f>
        <v>#N/A</v>
      </c>
      <c r="G9" s="100" t="e">
        <f t="shared" si="0"/>
        <v>#N/A</v>
      </c>
      <c r="H9" s="100" t="e">
        <f t="shared" si="1"/>
        <v>#N/A</v>
      </c>
      <c r="I9" s="75"/>
      <c r="J9" s="100" t="e">
        <f>VLOOKUP(E9,工资表明细!C:BF,56,0)</f>
        <v>#N/A</v>
      </c>
      <c r="K9" s="75"/>
      <c r="L9" s="75" t="e">
        <f>VLOOKUP(E9,工资表明细!C:J,6,0)</f>
        <v>#N/A</v>
      </c>
      <c r="M9" s="100" t="e">
        <f>VLOOKUP(E9,工资表明细!C:J,7,0)</f>
        <v>#N/A</v>
      </c>
      <c r="N9" s="100" t="e">
        <f>VLOOKUP(E9,工资表明细!C:J,8,0)</f>
        <v>#N/A</v>
      </c>
      <c r="O9" s="100"/>
      <c r="P9" s="100" t="e">
        <f t="shared" si="2"/>
        <v>#N/A</v>
      </c>
      <c r="Q9" s="100" t="e">
        <f t="shared" si="3"/>
        <v>#N/A</v>
      </c>
    </row>
    <row r="10" spans="1:17">
      <c r="A10" s="75" t="s">
        <v>11</v>
      </c>
      <c r="B10" s="75"/>
      <c r="C10" s="75"/>
      <c r="D10" s="75"/>
      <c r="E10" s="75" t="s">
        <v>289</v>
      </c>
      <c r="F10" s="100" t="e">
        <f>VLOOKUP(E10,工资表明细!C:AF,30,0)</f>
        <v>#N/A</v>
      </c>
      <c r="G10" s="100" t="e">
        <f t="shared" si="0"/>
        <v>#N/A</v>
      </c>
      <c r="H10" s="100" t="e">
        <f t="shared" si="1"/>
        <v>#N/A</v>
      </c>
      <c r="I10" s="75"/>
      <c r="J10" s="100" t="e">
        <f>VLOOKUP(E10,工资表明细!C:BF,56,0)</f>
        <v>#N/A</v>
      </c>
      <c r="K10" s="75"/>
      <c r="L10" s="75" t="e">
        <f>VLOOKUP(E10,工资表明细!C:J,6,0)</f>
        <v>#N/A</v>
      </c>
      <c r="M10" s="100" t="e">
        <f>VLOOKUP(E10,工资表明细!C:J,7,0)</f>
        <v>#N/A</v>
      </c>
      <c r="N10" s="100" t="e">
        <f>VLOOKUP(E10,工资表明细!C:J,8,0)</f>
        <v>#N/A</v>
      </c>
      <c r="O10" s="100"/>
      <c r="P10" s="100" t="e">
        <f t="shared" si="2"/>
        <v>#N/A</v>
      </c>
      <c r="Q10" s="100" t="e">
        <f t="shared" si="3"/>
        <v>#N/A</v>
      </c>
    </row>
    <row r="11" spans="1:17">
      <c r="A11" s="75" t="s">
        <v>11</v>
      </c>
      <c r="B11" s="75"/>
      <c r="C11" s="75"/>
      <c r="D11" s="75"/>
      <c r="E11" s="75" t="s">
        <v>291</v>
      </c>
      <c r="F11" s="100" t="e">
        <f>VLOOKUP(E11,工资表明细!C:AF,30,0)</f>
        <v>#N/A</v>
      </c>
      <c r="G11" s="100" t="e">
        <f t="shared" si="0"/>
        <v>#N/A</v>
      </c>
      <c r="H11" s="100" t="e">
        <f t="shared" si="1"/>
        <v>#N/A</v>
      </c>
      <c r="I11" s="75"/>
      <c r="J11" s="100" t="e">
        <f>VLOOKUP(E11,工资表明细!C:BF,56,0)</f>
        <v>#N/A</v>
      </c>
      <c r="K11" s="75"/>
      <c r="L11" s="75" t="e">
        <f>VLOOKUP(E11,工资表明细!C:J,6,0)</f>
        <v>#N/A</v>
      </c>
      <c r="M11" s="100" t="e">
        <f>VLOOKUP(E11,工资表明细!C:J,7,0)</f>
        <v>#N/A</v>
      </c>
      <c r="N11" s="100" t="e">
        <f>VLOOKUP(E11,工资表明细!C:J,8,0)</f>
        <v>#N/A</v>
      </c>
      <c r="O11" s="100"/>
      <c r="P11" s="100" t="e">
        <f t="shared" si="2"/>
        <v>#N/A</v>
      </c>
      <c r="Q11" s="100" t="e">
        <f t="shared" si="3"/>
        <v>#N/A</v>
      </c>
    </row>
    <row r="12" spans="1:17">
      <c r="A12" s="75" t="s">
        <v>11</v>
      </c>
      <c r="B12" s="75"/>
      <c r="C12" s="75"/>
      <c r="D12" s="75"/>
      <c r="E12" s="75" t="s">
        <v>293</v>
      </c>
      <c r="F12" s="100" t="e">
        <f>VLOOKUP(E12,工资表明细!C:AF,30,0)</f>
        <v>#N/A</v>
      </c>
      <c r="G12" s="100" t="e">
        <f t="shared" si="0"/>
        <v>#N/A</v>
      </c>
      <c r="H12" s="100" t="e">
        <f t="shared" si="1"/>
        <v>#N/A</v>
      </c>
      <c r="I12" s="75"/>
      <c r="J12" s="100" t="e">
        <f>VLOOKUP(E12,工资表明细!C:BF,56,0)</f>
        <v>#N/A</v>
      </c>
      <c r="K12" s="75"/>
      <c r="L12" s="75" t="e">
        <f>VLOOKUP(E12,工资表明细!C:J,6,0)</f>
        <v>#N/A</v>
      </c>
      <c r="M12" s="100" t="e">
        <f>VLOOKUP(E12,工资表明细!C:J,7,0)</f>
        <v>#N/A</v>
      </c>
      <c r="N12" s="100" t="e">
        <f>VLOOKUP(E12,工资表明细!C:J,8,0)</f>
        <v>#N/A</v>
      </c>
      <c r="O12" s="100"/>
      <c r="P12" s="100" t="e">
        <f t="shared" si="2"/>
        <v>#N/A</v>
      </c>
      <c r="Q12" s="100" t="e">
        <f t="shared" si="3"/>
        <v>#N/A</v>
      </c>
    </row>
    <row r="13" spans="1:17">
      <c r="A13" s="75" t="s">
        <v>11</v>
      </c>
      <c r="B13" s="75"/>
      <c r="C13" s="75"/>
      <c r="D13" s="75"/>
      <c r="E13" s="75" t="s">
        <v>295</v>
      </c>
      <c r="F13" s="100" t="e">
        <f>VLOOKUP(E13,工资表明细!C:AF,30,0)</f>
        <v>#N/A</v>
      </c>
      <c r="G13" s="100" t="e">
        <f t="shared" si="0"/>
        <v>#N/A</v>
      </c>
      <c r="H13" s="100" t="e">
        <f t="shared" si="1"/>
        <v>#N/A</v>
      </c>
      <c r="I13" s="75"/>
      <c r="J13" s="100" t="e">
        <f>VLOOKUP(E13,工资表明细!C:BF,56,0)</f>
        <v>#N/A</v>
      </c>
      <c r="K13" s="75"/>
      <c r="L13" s="75" t="e">
        <f>VLOOKUP(E13,工资表明细!C:J,6,0)</f>
        <v>#N/A</v>
      </c>
      <c r="M13" s="100" t="e">
        <f>VLOOKUP(E13,工资表明细!C:J,7,0)</f>
        <v>#N/A</v>
      </c>
      <c r="N13" s="100" t="e">
        <f>VLOOKUP(E13,工资表明细!C:J,8,0)</f>
        <v>#N/A</v>
      </c>
      <c r="O13" s="100"/>
      <c r="P13" s="100" t="e">
        <f t="shared" si="2"/>
        <v>#N/A</v>
      </c>
      <c r="Q13" s="100" t="e">
        <f t="shared" si="3"/>
        <v>#N/A</v>
      </c>
    </row>
    <row r="14" spans="1:17">
      <c r="A14" s="75" t="s">
        <v>11</v>
      </c>
      <c r="B14" s="75"/>
      <c r="C14" s="75"/>
      <c r="D14" s="75"/>
      <c r="E14" s="75" t="s">
        <v>297</v>
      </c>
      <c r="F14" s="100" t="e">
        <f>VLOOKUP(E14,工资表明细!C:AF,30,0)</f>
        <v>#N/A</v>
      </c>
      <c r="G14" s="100" t="e">
        <f t="shared" si="0"/>
        <v>#N/A</v>
      </c>
      <c r="H14" s="100" t="e">
        <f t="shared" si="1"/>
        <v>#N/A</v>
      </c>
      <c r="I14" s="75"/>
      <c r="J14" s="100" t="e">
        <f>VLOOKUP(E14,工资表明细!C:BF,56,0)</f>
        <v>#N/A</v>
      </c>
      <c r="K14" s="75"/>
      <c r="L14" s="75" t="e">
        <f>VLOOKUP(E14,工资表明细!C:J,6,0)</f>
        <v>#N/A</v>
      </c>
      <c r="M14" s="100" t="e">
        <f>VLOOKUP(E14,工资表明细!C:J,7,0)</f>
        <v>#N/A</v>
      </c>
      <c r="N14" s="100" t="e">
        <f>VLOOKUP(E14,工资表明细!C:J,8,0)</f>
        <v>#N/A</v>
      </c>
      <c r="O14" s="100"/>
      <c r="P14" s="100" t="e">
        <f t="shared" si="2"/>
        <v>#N/A</v>
      </c>
      <c r="Q14" s="100" t="e">
        <f t="shared" si="3"/>
        <v>#N/A</v>
      </c>
    </row>
    <row r="15" spans="1:17">
      <c r="A15" s="75" t="s">
        <v>11</v>
      </c>
      <c r="B15" s="75"/>
      <c r="C15" s="75"/>
      <c r="D15" s="75"/>
      <c r="E15" s="75" t="s">
        <v>299</v>
      </c>
      <c r="F15" s="100" t="e">
        <f>VLOOKUP(E15,工资表明细!C:AF,30,0)</f>
        <v>#N/A</v>
      </c>
      <c r="G15" s="100" t="e">
        <f t="shared" si="0"/>
        <v>#N/A</v>
      </c>
      <c r="H15" s="100" t="e">
        <f t="shared" si="1"/>
        <v>#N/A</v>
      </c>
      <c r="I15" s="75"/>
      <c r="J15" s="100" t="e">
        <f>VLOOKUP(E15,工资表明细!C:BF,56,0)</f>
        <v>#N/A</v>
      </c>
      <c r="K15" s="75"/>
      <c r="L15" s="75" t="e">
        <f>VLOOKUP(E15,工资表明细!C:J,6,0)</f>
        <v>#N/A</v>
      </c>
      <c r="M15" s="100" t="e">
        <f>VLOOKUP(E15,工资表明细!C:J,7,0)</f>
        <v>#N/A</v>
      </c>
      <c r="N15" s="100" t="e">
        <f>VLOOKUP(E15,工资表明细!C:J,8,0)</f>
        <v>#N/A</v>
      </c>
      <c r="O15" s="100"/>
      <c r="P15" s="100" t="e">
        <f t="shared" si="2"/>
        <v>#N/A</v>
      </c>
      <c r="Q15" s="100" t="e">
        <f t="shared" si="3"/>
        <v>#N/A</v>
      </c>
    </row>
    <row r="16" spans="1:17">
      <c r="A16" s="75" t="s">
        <v>15</v>
      </c>
      <c r="B16" s="75"/>
      <c r="C16" s="75"/>
      <c r="D16" s="75"/>
      <c r="E16" s="75" t="s">
        <v>301</v>
      </c>
      <c r="F16" s="100" t="e">
        <f>VLOOKUP(E16,工资表明细!C:AF,30,0)</f>
        <v>#N/A</v>
      </c>
      <c r="G16" s="100" t="e">
        <f t="shared" si="0"/>
        <v>#N/A</v>
      </c>
      <c r="H16" s="100" t="e">
        <f t="shared" si="1"/>
        <v>#N/A</v>
      </c>
      <c r="I16" s="75"/>
      <c r="J16" s="100" t="e">
        <f>VLOOKUP(E16,工资表明细!C:BF,56,0)</f>
        <v>#N/A</v>
      </c>
      <c r="K16" s="75"/>
      <c r="L16" s="75" t="e">
        <f>VLOOKUP(E16,工资表明细!C:J,6,0)</f>
        <v>#N/A</v>
      </c>
      <c r="M16" s="100" t="e">
        <f>VLOOKUP(E16,工资表明细!C:J,7,0)</f>
        <v>#N/A</v>
      </c>
      <c r="N16" s="100" t="e">
        <f>VLOOKUP(E16,工资表明细!C:J,8,0)</f>
        <v>#N/A</v>
      </c>
      <c r="O16" s="100"/>
      <c r="P16" s="100" t="e">
        <f t="shared" si="2"/>
        <v>#N/A</v>
      </c>
      <c r="Q16" s="100" t="e">
        <f t="shared" si="3"/>
        <v>#N/A</v>
      </c>
    </row>
    <row r="17" spans="1:17">
      <c r="A17" s="75" t="s">
        <v>11</v>
      </c>
      <c r="B17" s="75"/>
      <c r="C17" s="75"/>
      <c r="D17" s="75"/>
      <c r="E17" s="75" t="s">
        <v>303</v>
      </c>
      <c r="F17" s="100" t="e">
        <f>VLOOKUP(E17,工资表明细!C:AF,30,0)</f>
        <v>#N/A</v>
      </c>
      <c r="G17" s="100" t="e">
        <f t="shared" si="0"/>
        <v>#N/A</v>
      </c>
      <c r="H17" s="100" t="e">
        <f t="shared" si="1"/>
        <v>#N/A</v>
      </c>
      <c r="I17" s="75"/>
      <c r="J17" s="100" t="e">
        <f>VLOOKUP(E17,工资表明细!C:BF,56,0)</f>
        <v>#N/A</v>
      </c>
      <c r="K17" s="75"/>
      <c r="L17" s="75" t="e">
        <f>VLOOKUP(E17,工资表明细!C:J,6,0)</f>
        <v>#N/A</v>
      </c>
      <c r="M17" s="100" t="e">
        <f>VLOOKUP(E17,工资表明细!C:J,7,0)</f>
        <v>#N/A</v>
      </c>
      <c r="N17" s="100" t="e">
        <f>VLOOKUP(E17,工资表明细!C:J,8,0)</f>
        <v>#N/A</v>
      </c>
      <c r="O17" s="100"/>
      <c r="P17" s="100" t="e">
        <f t="shared" si="2"/>
        <v>#N/A</v>
      </c>
      <c r="Q17" s="100" t="e">
        <f t="shared" si="3"/>
        <v>#N/A</v>
      </c>
    </row>
    <row r="18" spans="1:17">
      <c r="A18" s="75" t="s">
        <v>19</v>
      </c>
      <c r="B18" s="75"/>
      <c r="C18" s="75"/>
      <c r="D18" s="75"/>
      <c r="E18" s="75" t="s">
        <v>305</v>
      </c>
      <c r="F18" s="100" t="e">
        <f>VLOOKUP(E18,工资表明细!C:AF,30,0)</f>
        <v>#N/A</v>
      </c>
      <c r="G18" s="100" t="e">
        <f t="shared" si="0"/>
        <v>#N/A</v>
      </c>
      <c r="H18" s="100" t="e">
        <f t="shared" si="1"/>
        <v>#N/A</v>
      </c>
      <c r="I18" s="75"/>
      <c r="J18" s="100" t="e">
        <f>VLOOKUP(E18,工资表明细!C:BF,56,0)</f>
        <v>#N/A</v>
      </c>
      <c r="K18" s="75"/>
      <c r="L18" s="75" t="e">
        <f>VLOOKUP(E18,工资表明细!C:J,6,0)</f>
        <v>#N/A</v>
      </c>
      <c r="M18" s="100" t="e">
        <f>VLOOKUP(E18,工资表明细!C:J,7,0)</f>
        <v>#N/A</v>
      </c>
      <c r="N18" s="100" t="e">
        <f>VLOOKUP(E18,工资表明细!C:J,8,0)</f>
        <v>#N/A</v>
      </c>
      <c r="O18" s="100"/>
      <c r="P18" s="100" t="e">
        <f t="shared" si="2"/>
        <v>#N/A</v>
      </c>
      <c r="Q18" s="100" t="e">
        <f t="shared" si="3"/>
        <v>#N/A</v>
      </c>
    </row>
    <row r="19" spans="1:17">
      <c r="A19" s="75" t="s">
        <v>11</v>
      </c>
      <c r="B19" s="75"/>
      <c r="C19" s="75"/>
      <c r="D19" s="75"/>
      <c r="E19" s="75" t="s">
        <v>307</v>
      </c>
      <c r="F19" s="100" t="e">
        <f>VLOOKUP(E19,工资表明细!C:AF,30,0)</f>
        <v>#N/A</v>
      </c>
      <c r="G19" s="100" t="e">
        <f t="shared" si="0"/>
        <v>#N/A</v>
      </c>
      <c r="H19" s="100" t="e">
        <f t="shared" si="1"/>
        <v>#N/A</v>
      </c>
      <c r="I19" s="75"/>
      <c r="J19" s="100" t="e">
        <f>VLOOKUP(E19,工资表明细!C:BF,56,0)</f>
        <v>#N/A</v>
      </c>
      <c r="K19" s="75"/>
      <c r="L19" s="75" t="e">
        <f>VLOOKUP(E19,工资表明细!C:J,6,0)</f>
        <v>#N/A</v>
      </c>
      <c r="M19" s="100" t="e">
        <f>VLOOKUP(E19,工资表明细!C:J,7,0)</f>
        <v>#N/A</v>
      </c>
      <c r="N19" s="100" t="e">
        <f>VLOOKUP(E19,工资表明细!C:J,8,0)</f>
        <v>#N/A</v>
      </c>
      <c r="O19" s="100"/>
      <c r="P19" s="100" t="e">
        <f t="shared" si="2"/>
        <v>#N/A</v>
      </c>
      <c r="Q19" s="100" t="e">
        <f t="shared" si="3"/>
        <v>#N/A</v>
      </c>
    </row>
    <row r="20" spans="1:17">
      <c r="A20" s="75" t="s">
        <v>11</v>
      </c>
      <c r="B20" s="75"/>
      <c r="C20" s="75"/>
      <c r="D20" s="75"/>
      <c r="E20" s="75" t="s">
        <v>309</v>
      </c>
      <c r="F20" s="100" t="e">
        <f>VLOOKUP(E20,工资表明细!C:AF,30,0)</f>
        <v>#N/A</v>
      </c>
      <c r="G20" s="100" t="e">
        <f t="shared" si="0"/>
        <v>#N/A</v>
      </c>
      <c r="H20" s="100" t="e">
        <f t="shared" si="1"/>
        <v>#N/A</v>
      </c>
      <c r="I20" s="75"/>
      <c r="J20" s="100" t="e">
        <f>VLOOKUP(E20,工资表明细!C:BF,56,0)</f>
        <v>#N/A</v>
      </c>
      <c r="K20" s="75"/>
      <c r="L20" s="75" t="e">
        <f>VLOOKUP(E20,工资表明细!C:J,6,0)</f>
        <v>#N/A</v>
      </c>
      <c r="M20" s="100" t="e">
        <f>VLOOKUP(E20,工资表明细!C:J,7,0)</f>
        <v>#N/A</v>
      </c>
      <c r="N20" s="100" t="e">
        <f>VLOOKUP(E20,工资表明细!C:J,8,0)</f>
        <v>#N/A</v>
      </c>
      <c r="O20" s="100"/>
      <c r="P20" s="100" t="e">
        <f t="shared" si="2"/>
        <v>#N/A</v>
      </c>
      <c r="Q20" s="100" t="e">
        <f t="shared" si="3"/>
        <v>#N/A</v>
      </c>
    </row>
    <row r="21" spans="1:17">
      <c r="A21" s="75" t="s">
        <v>11</v>
      </c>
      <c r="B21" s="75"/>
      <c r="C21" s="75"/>
      <c r="D21" s="75"/>
      <c r="E21" s="75" t="s">
        <v>311</v>
      </c>
      <c r="F21" s="100" t="e">
        <f>VLOOKUP(E21,工资表明细!C:AF,30,0)</f>
        <v>#N/A</v>
      </c>
      <c r="G21" s="100" t="e">
        <f t="shared" si="0"/>
        <v>#N/A</v>
      </c>
      <c r="H21" s="100" t="e">
        <f t="shared" si="1"/>
        <v>#N/A</v>
      </c>
      <c r="I21" s="75"/>
      <c r="J21" s="100" t="e">
        <f>VLOOKUP(E21,工资表明细!C:BF,56,0)</f>
        <v>#N/A</v>
      </c>
      <c r="K21" s="75"/>
      <c r="L21" s="75" t="e">
        <f>VLOOKUP(E21,工资表明细!C:J,6,0)</f>
        <v>#N/A</v>
      </c>
      <c r="M21" s="100" t="e">
        <f>VLOOKUP(E21,工资表明细!C:J,7,0)</f>
        <v>#N/A</v>
      </c>
      <c r="N21" s="100" t="e">
        <f>VLOOKUP(E21,工资表明细!C:J,8,0)</f>
        <v>#N/A</v>
      </c>
      <c r="O21" s="100"/>
      <c r="P21" s="100" t="e">
        <f t="shared" si="2"/>
        <v>#N/A</v>
      </c>
      <c r="Q21" s="100" t="e">
        <f t="shared" si="3"/>
        <v>#N/A</v>
      </c>
    </row>
    <row r="22" spans="1:17">
      <c r="A22" s="75" t="s">
        <v>11</v>
      </c>
      <c r="B22" s="75"/>
      <c r="C22" s="75"/>
      <c r="D22" s="75"/>
      <c r="E22" s="75" t="s">
        <v>313</v>
      </c>
      <c r="F22" s="100" t="e">
        <f>VLOOKUP(E22,工资表明细!C:AF,30,0)</f>
        <v>#N/A</v>
      </c>
      <c r="G22" s="100" t="e">
        <f t="shared" si="0"/>
        <v>#N/A</v>
      </c>
      <c r="H22" s="100" t="e">
        <f t="shared" si="1"/>
        <v>#N/A</v>
      </c>
      <c r="I22" s="75"/>
      <c r="J22" s="100" t="e">
        <f>VLOOKUP(E22,工资表明细!C:BF,56,0)</f>
        <v>#N/A</v>
      </c>
      <c r="K22" s="75"/>
      <c r="L22" s="75" t="e">
        <f>VLOOKUP(E22,工资表明细!C:J,6,0)</f>
        <v>#N/A</v>
      </c>
      <c r="M22" s="100" t="e">
        <f>VLOOKUP(E22,工资表明细!C:J,7,0)</f>
        <v>#N/A</v>
      </c>
      <c r="N22" s="100" t="e">
        <f>VLOOKUP(E22,工资表明细!C:J,8,0)</f>
        <v>#N/A</v>
      </c>
      <c r="O22" s="100"/>
      <c r="P22" s="100" t="e">
        <f t="shared" si="2"/>
        <v>#N/A</v>
      </c>
      <c r="Q22" s="100" t="e">
        <f t="shared" si="3"/>
        <v>#N/A</v>
      </c>
    </row>
    <row r="23" spans="1:17">
      <c r="A23" s="75" t="s">
        <v>11</v>
      </c>
      <c r="B23" s="75"/>
      <c r="C23" s="75"/>
      <c r="D23" s="75"/>
      <c r="E23" s="75" t="s">
        <v>315</v>
      </c>
      <c r="F23" s="100" t="e">
        <f>VLOOKUP(E23,工资表明细!C:AF,30,0)</f>
        <v>#N/A</v>
      </c>
      <c r="G23" s="100" t="e">
        <f t="shared" si="0"/>
        <v>#N/A</v>
      </c>
      <c r="H23" s="100" t="e">
        <f t="shared" si="1"/>
        <v>#N/A</v>
      </c>
      <c r="I23" s="75"/>
      <c r="J23" s="100" t="e">
        <f>VLOOKUP(E23,工资表明细!C:BF,56,0)</f>
        <v>#N/A</v>
      </c>
      <c r="K23" s="75"/>
      <c r="L23" s="75" t="e">
        <f>VLOOKUP(E23,工资表明细!C:J,6,0)</f>
        <v>#N/A</v>
      </c>
      <c r="M23" s="100" t="e">
        <f>VLOOKUP(E23,工资表明细!C:J,7,0)</f>
        <v>#N/A</v>
      </c>
      <c r="N23" s="100" t="e">
        <f>VLOOKUP(E23,工资表明细!C:J,8,0)</f>
        <v>#N/A</v>
      </c>
      <c r="O23" s="100"/>
      <c r="P23" s="100" t="e">
        <f t="shared" si="2"/>
        <v>#N/A</v>
      </c>
      <c r="Q23" s="100" t="e">
        <f t="shared" si="3"/>
        <v>#N/A</v>
      </c>
    </row>
    <row r="24" spans="1:17">
      <c r="A24" s="75" t="s">
        <v>11</v>
      </c>
      <c r="B24" s="75"/>
      <c r="C24" s="75"/>
      <c r="D24" s="75"/>
      <c r="E24" s="75" t="s">
        <v>317</v>
      </c>
      <c r="F24" s="100" t="e">
        <f>VLOOKUP(E24,工资表明细!C:AF,30,0)</f>
        <v>#N/A</v>
      </c>
      <c r="G24" s="100" t="e">
        <f t="shared" si="0"/>
        <v>#N/A</v>
      </c>
      <c r="H24" s="100" t="e">
        <f t="shared" si="1"/>
        <v>#N/A</v>
      </c>
      <c r="I24" s="75"/>
      <c r="J24" s="100" t="e">
        <f>VLOOKUP(E24,工资表明细!C:BF,56,0)</f>
        <v>#N/A</v>
      </c>
      <c r="K24" s="75"/>
      <c r="L24" s="75" t="e">
        <f>VLOOKUP(E24,工资表明细!C:J,6,0)</f>
        <v>#N/A</v>
      </c>
      <c r="M24" s="100" t="e">
        <f>VLOOKUP(E24,工资表明细!C:J,7,0)</f>
        <v>#N/A</v>
      </c>
      <c r="N24" s="100" t="e">
        <f>VLOOKUP(E24,工资表明细!C:J,8,0)</f>
        <v>#N/A</v>
      </c>
      <c r="O24" s="100"/>
      <c r="P24" s="100" t="e">
        <f t="shared" si="2"/>
        <v>#N/A</v>
      </c>
      <c r="Q24" s="100" t="e">
        <f t="shared" si="3"/>
        <v>#N/A</v>
      </c>
    </row>
    <row r="25" spans="1:17">
      <c r="A25" s="75" t="s">
        <v>15</v>
      </c>
      <c r="B25" s="75"/>
      <c r="C25" s="75"/>
      <c r="D25" s="75"/>
      <c r="E25" s="75" t="s">
        <v>319</v>
      </c>
      <c r="F25" s="100" t="e">
        <f>VLOOKUP(E25,工资表明细!C:AF,30,0)</f>
        <v>#N/A</v>
      </c>
      <c r="G25" s="100" t="e">
        <f t="shared" si="0"/>
        <v>#N/A</v>
      </c>
      <c r="H25" s="100" t="e">
        <f t="shared" si="1"/>
        <v>#N/A</v>
      </c>
      <c r="I25" s="75"/>
      <c r="J25" s="100" t="e">
        <f>VLOOKUP(E25,工资表明细!C:BF,56,0)</f>
        <v>#N/A</v>
      </c>
      <c r="K25" s="75"/>
      <c r="L25" s="75" t="e">
        <f>VLOOKUP(E25,工资表明细!C:J,6,0)</f>
        <v>#N/A</v>
      </c>
      <c r="M25" s="100" t="e">
        <f>VLOOKUP(E25,工资表明细!C:J,7,0)</f>
        <v>#N/A</v>
      </c>
      <c r="N25" s="100" t="e">
        <f>VLOOKUP(E25,工资表明细!C:J,8,0)</f>
        <v>#N/A</v>
      </c>
      <c r="O25" s="100"/>
      <c r="P25" s="100" t="e">
        <f t="shared" si="2"/>
        <v>#N/A</v>
      </c>
      <c r="Q25" s="100" t="e">
        <f t="shared" si="3"/>
        <v>#N/A</v>
      </c>
    </row>
    <row r="26" spans="1:17">
      <c r="A26" s="75" t="s">
        <v>11</v>
      </c>
      <c r="B26" s="75"/>
      <c r="C26" s="75"/>
      <c r="D26" s="75"/>
      <c r="E26" s="75" t="s">
        <v>321</v>
      </c>
      <c r="F26" s="100" t="e">
        <f>VLOOKUP(E26,工资表明细!C:AF,30,0)</f>
        <v>#N/A</v>
      </c>
      <c r="G26" s="100" t="e">
        <f t="shared" si="0"/>
        <v>#N/A</v>
      </c>
      <c r="H26" s="100" t="e">
        <f t="shared" si="1"/>
        <v>#N/A</v>
      </c>
      <c r="I26" s="75"/>
      <c r="J26" s="100" t="e">
        <f>VLOOKUP(E26,工资表明细!C:BF,56,0)</f>
        <v>#N/A</v>
      </c>
      <c r="K26" s="75"/>
      <c r="L26" s="75" t="e">
        <f>VLOOKUP(E26,工资表明细!C:J,6,0)</f>
        <v>#N/A</v>
      </c>
      <c r="M26" s="100" t="e">
        <f>VLOOKUP(E26,工资表明细!C:J,7,0)</f>
        <v>#N/A</v>
      </c>
      <c r="N26" s="100" t="e">
        <f>VLOOKUP(E26,工资表明细!C:J,8,0)</f>
        <v>#N/A</v>
      </c>
      <c r="O26" s="100"/>
      <c r="P26" s="100" t="e">
        <f t="shared" si="2"/>
        <v>#N/A</v>
      </c>
      <c r="Q26" s="100" t="e">
        <f t="shared" si="3"/>
        <v>#N/A</v>
      </c>
    </row>
    <row r="27" spans="1:17">
      <c r="A27" s="75" t="s">
        <v>11</v>
      </c>
      <c r="B27" s="75"/>
      <c r="C27" s="75"/>
      <c r="D27" s="75"/>
      <c r="E27" s="75" t="s">
        <v>323</v>
      </c>
      <c r="F27" s="100" t="e">
        <f>VLOOKUP(E27,工资表明细!C:AF,30,0)</f>
        <v>#N/A</v>
      </c>
      <c r="G27" s="100" t="e">
        <f t="shared" si="0"/>
        <v>#N/A</v>
      </c>
      <c r="H27" s="100" t="e">
        <f t="shared" si="1"/>
        <v>#N/A</v>
      </c>
      <c r="I27" s="75"/>
      <c r="J27" s="100" t="e">
        <f>VLOOKUP(E27,工资表明细!C:BF,56,0)</f>
        <v>#N/A</v>
      </c>
      <c r="K27" s="75"/>
      <c r="L27" s="75" t="e">
        <f>VLOOKUP(E27,工资表明细!C:J,6,0)</f>
        <v>#N/A</v>
      </c>
      <c r="M27" s="100" t="e">
        <f>VLOOKUP(E27,工资表明细!C:J,7,0)</f>
        <v>#N/A</v>
      </c>
      <c r="N27" s="100" t="e">
        <f>VLOOKUP(E27,工资表明细!C:J,8,0)</f>
        <v>#N/A</v>
      </c>
      <c r="O27" s="100"/>
      <c r="P27" s="100" t="e">
        <f t="shared" si="2"/>
        <v>#N/A</v>
      </c>
      <c r="Q27" s="100" t="e">
        <f t="shared" si="3"/>
        <v>#N/A</v>
      </c>
    </row>
    <row r="28" spans="1:17">
      <c r="A28" s="75" t="s">
        <v>11</v>
      </c>
      <c r="B28" s="75"/>
      <c r="C28" s="75"/>
      <c r="D28" s="75"/>
      <c r="E28" s="75" t="s">
        <v>325</v>
      </c>
      <c r="F28" s="100" t="e">
        <f>VLOOKUP(E28,工资表明细!C:AF,30,0)</f>
        <v>#N/A</v>
      </c>
      <c r="G28" s="100" t="e">
        <f t="shared" si="0"/>
        <v>#N/A</v>
      </c>
      <c r="H28" s="100" t="e">
        <f t="shared" si="1"/>
        <v>#N/A</v>
      </c>
      <c r="I28" s="75"/>
      <c r="J28" s="100" t="e">
        <f>VLOOKUP(E28,工资表明细!C:BF,56,0)</f>
        <v>#N/A</v>
      </c>
      <c r="K28" s="75"/>
      <c r="L28" s="75" t="e">
        <f>VLOOKUP(E28,工资表明细!C:J,6,0)</f>
        <v>#N/A</v>
      </c>
      <c r="M28" s="100" t="e">
        <f>VLOOKUP(E28,工资表明细!C:J,7,0)</f>
        <v>#N/A</v>
      </c>
      <c r="N28" s="100" t="e">
        <f>VLOOKUP(E28,工资表明细!C:J,8,0)</f>
        <v>#N/A</v>
      </c>
      <c r="O28" s="100"/>
      <c r="P28" s="100" t="e">
        <f t="shared" si="2"/>
        <v>#N/A</v>
      </c>
      <c r="Q28" s="100" t="e">
        <f t="shared" si="3"/>
        <v>#N/A</v>
      </c>
    </row>
    <row r="29" spans="1:17">
      <c r="A29" s="75" t="s">
        <v>11</v>
      </c>
      <c r="B29" s="75"/>
      <c r="C29" s="75"/>
      <c r="D29" s="75"/>
      <c r="E29" s="75" t="s">
        <v>327</v>
      </c>
      <c r="F29" s="100" t="e">
        <f>VLOOKUP(E29,工资表明细!C:AF,30,0)</f>
        <v>#N/A</v>
      </c>
      <c r="G29" s="100" t="e">
        <f t="shared" si="0"/>
        <v>#N/A</v>
      </c>
      <c r="H29" s="100" t="e">
        <f t="shared" si="1"/>
        <v>#N/A</v>
      </c>
      <c r="I29" s="75"/>
      <c r="J29" s="100" t="e">
        <f>VLOOKUP(E29,工资表明细!C:BF,56,0)</f>
        <v>#N/A</v>
      </c>
      <c r="K29" s="75"/>
      <c r="L29" s="75" t="e">
        <f>VLOOKUP(E29,工资表明细!C:J,6,0)</f>
        <v>#N/A</v>
      </c>
      <c r="M29" s="100" t="e">
        <f>VLOOKUP(E29,工资表明细!C:J,7,0)</f>
        <v>#N/A</v>
      </c>
      <c r="N29" s="100" t="e">
        <f>VLOOKUP(E29,工资表明细!C:J,8,0)</f>
        <v>#N/A</v>
      </c>
      <c r="O29" s="100"/>
      <c r="P29" s="100" t="e">
        <f t="shared" si="2"/>
        <v>#N/A</v>
      </c>
      <c r="Q29" s="100" t="e">
        <f t="shared" si="3"/>
        <v>#N/A</v>
      </c>
    </row>
    <row r="30" spans="1:17">
      <c r="A30" s="75" t="s">
        <v>11</v>
      </c>
      <c r="B30" s="75"/>
      <c r="C30" s="75"/>
      <c r="D30" s="75"/>
      <c r="E30" s="75" t="s">
        <v>329</v>
      </c>
      <c r="F30" s="100" t="e">
        <f>VLOOKUP(E30,工资表明细!C:AF,30,0)</f>
        <v>#N/A</v>
      </c>
      <c r="G30" s="100" t="e">
        <f t="shared" si="0"/>
        <v>#N/A</v>
      </c>
      <c r="H30" s="100" t="e">
        <f t="shared" si="1"/>
        <v>#N/A</v>
      </c>
      <c r="I30" s="75"/>
      <c r="J30" s="100" t="e">
        <f>VLOOKUP(E30,工资表明细!C:BF,56,0)</f>
        <v>#N/A</v>
      </c>
      <c r="K30" s="75"/>
      <c r="L30" s="75" t="e">
        <f>VLOOKUP(E30,工资表明细!C:J,6,0)</f>
        <v>#N/A</v>
      </c>
      <c r="M30" s="100" t="e">
        <f>VLOOKUP(E30,工资表明细!C:J,7,0)</f>
        <v>#N/A</v>
      </c>
      <c r="N30" s="100" t="e">
        <f>VLOOKUP(E30,工资表明细!C:J,8,0)</f>
        <v>#N/A</v>
      </c>
      <c r="O30" s="100"/>
      <c r="P30" s="100" t="e">
        <f t="shared" si="2"/>
        <v>#N/A</v>
      </c>
      <c r="Q30" s="100" t="e">
        <f t="shared" si="3"/>
        <v>#N/A</v>
      </c>
    </row>
    <row r="31" spans="1:17">
      <c r="A31" s="75" t="s">
        <v>11</v>
      </c>
      <c r="B31" s="75"/>
      <c r="C31" s="75"/>
      <c r="D31" s="75"/>
      <c r="E31" s="75" t="s">
        <v>331</v>
      </c>
      <c r="F31" s="100" t="e">
        <f>VLOOKUP(E31,工资表明细!C:AF,30,0)</f>
        <v>#N/A</v>
      </c>
      <c r="G31" s="100" t="e">
        <f t="shared" si="0"/>
        <v>#N/A</v>
      </c>
      <c r="H31" s="100" t="e">
        <f t="shared" si="1"/>
        <v>#N/A</v>
      </c>
      <c r="I31" s="75"/>
      <c r="J31" s="100" t="e">
        <f>VLOOKUP(E31,工资表明细!C:BF,56,0)</f>
        <v>#N/A</v>
      </c>
      <c r="K31" s="75"/>
      <c r="L31" s="75" t="e">
        <f>VLOOKUP(E31,工资表明细!C:J,6,0)</f>
        <v>#N/A</v>
      </c>
      <c r="M31" s="100" t="e">
        <f>VLOOKUP(E31,工资表明细!C:J,7,0)</f>
        <v>#N/A</v>
      </c>
      <c r="N31" s="100" t="e">
        <f>VLOOKUP(E31,工资表明细!C:J,8,0)</f>
        <v>#N/A</v>
      </c>
      <c r="O31" s="100"/>
      <c r="P31" s="100" t="e">
        <f t="shared" si="2"/>
        <v>#N/A</v>
      </c>
      <c r="Q31" s="100" t="e">
        <f t="shared" si="3"/>
        <v>#N/A</v>
      </c>
    </row>
    <row r="32" spans="1:17">
      <c r="A32" s="75" t="s">
        <v>11</v>
      </c>
      <c r="B32" s="75"/>
      <c r="C32" s="75"/>
      <c r="D32" s="75"/>
      <c r="E32" s="75" t="s">
        <v>333</v>
      </c>
      <c r="F32" s="100" t="e">
        <f>VLOOKUP(E32,工资表明细!C:AF,30,0)</f>
        <v>#N/A</v>
      </c>
      <c r="G32" s="100" t="e">
        <f t="shared" si="0"/>
        <v>#N/A</v>
      </c>
      <c r="H32" s="100" t="e">
        <f t="shared" si="1"/>
        <v>#N/A</v>
      </c>
      <c r="I32" s="75"/>
      <c r="J32" s="100" t="e">
        <f>VLOOKUP(E32,工资表明细!C:BF,56,0)</f>
        <v>#N/A</v>
      </c>
      <c r="K32" s="75"/>
      <c r="L32" s="75" t="e">
        <f>VLOOKUP(E32,工资表明细!C:J,6,0)</f>
        <v>#N/A</v>
      </c>
      <c r="M32" s="100" t="e">
        <f>VLOOKUP(E32,工资表明细!C:J,7,0)</f>
        <v>#N/A</v>
      </c>
      <c r="N32" s="100" t="e">
        <f>VLOOKUP(E32,工资表明细!C:J,8,0)</f>
        <v>#N/A</v>
      </c>
      <c r="O32" s="100"/>
      <c r="P32" s="100" t="e">
        <f t="shared" si="2"/>
        <v>#N/A</v>
      </c>
      <c r="Q32" s="100" t="e">
        <f t="shared" si="3"/>
        <v>#N/A</v>
      </c>
    </row>
    <row r="33" spans="1:17">
      <c r="A33" s="75" t="s">
        <v>11</v>
      </c>
      <c r="B33" s="75"/>
      <c r="C33" s="75"/>
      <c r="D33" s="75"/>
      <c r="E33" s="75" t="s">
        <v>335</v>
      </c>
      <c r="F33" s="100" t="e">
        <f>VLOOKUP(E33,工资表明细!C:AF,30,0)</f>
        <v>#N/A</v>
      </c>
      <c r="G33" s="100" t="e">
        <f t="shared" si="0"/>
        <v>#N/A</v>
      </c>
      <c r="H33" s="100" t="e">
        <f t="shared" si="1"/>
        <v>#N/A</v>
      </c>
      <c r="I33" s="75"/>
      <c r="J33" s="100" t="e">
        <f>VLOOKUP(E33,工资表明细!C:BF,56,0)</f>
        <v>#N/A</v>
      </c>
      <c r="K33" s="75"/>
      <c r="L33" s="75" t="e">
        <f>VLOOKUP(E33,工资表明细!C:J,6,0)</f>
        <v>#N/A</v>
      </c>
      <c r="M33" s="100" t="e">
        <f>VLOOKUP(E33,工资表明细!C:J,7,0)</f>
        <v>#N/A</v>
      </c>
      <c r="N33" s="100" t="e">
        <f>VLOOKUP(E33,工资表明细!C:J,8,0)</f>
        <v>#N/A</v>
      </c>
      <c r="O33" s="100">
        <f>2*8</f>
        <v>16</v>
      </c>
      <c r="P33" s="100" t="e">
        <f t="shared" si="2"/>
        <v>#N/A</v>
      </c>
      <c r="Q33" s="100" t="e">
        <f t="shared" si="3"/>
        <v>#N/A</v>
      </c>
    </row>
    <row r="34" spans="1:17">
      <c r="A34" s="75" t="s">
        <v>15</v>
      </c>
      <c r="B34" s="75"/>
      <c r="C34" s="75"/>
      <c r="D34" s="75"/>
      <c r="E34" s="75" t="s">
        <v>337</v>
      </c>
      <c r="F34" s="100" t="e">
        <f>VLOOKUP(E34,工资表明细!C:AF,30,0)</f>
        <v>#N/A</v>
      </c>
      <c r="G34" s="100" t="e">
        <f t="shared" si="0"/>
        <v>#N/A</v>
      </c>
      <c r="H34" s="100" t="e">
        <f t="shared" si="1"/>
        <v>#N/A</v>
      </c>
      <c r="I34" s="75"/>
      <c r="J34" s="100" t="e">
        <f>VLOOKUP(E34,工资表明细!C:BF,56,0)</f>
        <v>#N/A</v>
      </c>
      <c r="K34" s="75"/>
      <c r="L34" s="75" t="e">
        <f>VLOOKUP(E34,工资表明细!C:J,6,0)</f>
        <v>#N/A</v>
      </c>
      <c r="M34" s="100" t="e">
        <f>VLOOKUP(E34,工资表明细!C:J,7,0)</f>
        <v>#N/A</v>
      </c>
      <c r="N34" s="100" t="e">
        <f>VLOOKUP(E34,工资表明细!C:J,8,0)</f>
        <v>#N/A</v>
      </c>
      <c r="O34" s="100"/>
      <c r="P34" s="100" t="e">
        <f t="shared" si="2"/>
        <v>#N/A</v>
      </c>
      <c r="Q34" s="100" t="e">
        <f t="shared" si="3"/>
        <v>#N/A</v>
      </c>
    </row>
    <row r="35" spans="1:17">
      <c r="A35" s="75" t="s">
        <v>11</v>
      </c>
      <c r="B35" s="75"/>
      <c r="C35" s="75"/>
      <c r="D35" s="75"/>
      <c r="E35" s="75" t="s">
        <v>339</v>
      </c>
      <c r="F35" s="100" t="e">
        <f>VLOOKUP(E35,工资表明细!C:AF,30,0)</f>
        <v>#N/A</v>
      </c>
      <c r="G35" s="100" t="e">
        <f t="shared" ref="G35:G75" si="4">F35*8</f>
        <v>#N/A</v>
      </c>
      <c r="H35" s="100" t="e">
        <f t="shared" ref="H35:H75" si="5">ROUND(J35/G35,2)</f>
        <v>#N/A</v>
      </c>
      <c r="I35" s="75"/>
      <c r="J35" s="100" t="e">
        <f>VLOOKUP(E35,工资表明细!C:BF,56,0)</f>
        <v>#N/A</v>
      </c>
      <c r="K35" s="75"/>
      <c r="L35" s="75" t="e">
        <f>VLOOKUP(E35,工资表明细!C:J,6,0)</f>
        <v>#N/A</v>
      </c>
      <c r="M35" s="100" t="e">
        <f>VLOOKUP(E35,工资表明细!C:J,7,0)</f>
        <v>#N/A</v>
      </c>
      <c r="N35" s="100" t="e">
        <f>VLOOKUP(E35,工资表明细!C:J,8,0)</f>
        <v>#N/A</v>
      </c>
      <c r="O35" s="100">
        <f>4.5*8</f>
        <v>36</v>
      </c>
      <c r="P35" s="100" t="e">
        <f t="shared" ref="P35:P75" si="6">O35*H35</f>
        <v>#N/A</v>
      </c>
      <c r="Q35" s="100" t="e">
        <f t="shared" ref="Q35:Q75" si="7">J35-P35</f>
        <v>#N/A</v>
      </c>
    </row>
    <row r="36" spans="1:17">
      <c r="A36" s="75" t="s">
        <v>15</v>
      </c>
      <c r="B36" s="75"/>
      <c r="C36" s="75"/>
      <c r="D36" s="75"/>
      <c r="E36" s="75" t="s">
        <v>341</v>
      </c>
      <c r="F36" s="100" t="e">
        <f>VLOOKUP(E36,工资表明细!C:AF,30,0)</f>
        <v>#N/A</v>
      </c>
      <c r="G36" s="100" t="e">
        <f t="shared" si="4"/>
        <v>#N/A</v>
      </c>
      <c r="H36" s="100" t="e">
        <f t="shared" si="5"/>
        <v>#N/A</v>
      </c>
      <c r="I36" s="75"/>
      <c r="J36" s="100" t="e">
        <f>VLOOKUP(E36,工资表明细!C:BF,56,0)</f>
        <v>#N/A</v>
      </c>
      <c r="K36" s="75"/>
      <c r="L36" s="75" t="e">
        <f>VLOOKUP(E36,工资表明细!C:J,6,0)</f>
        <v>#N/A</v>
      </c>
      <c r="M36" s="100" t="e">
        <f>VLOOKUP(E36,工资表明细!C:J,7,0)</f>
        <v>#N/A</v>
      </c>
      <c r="N36" s="100" t="e">
        <f>VLOOKUP(E36,工资表明细!C:J,8,0)</f>
        <v>#N/A</v>
      </c>
      <c r="O36" s="100"/>
      <c r="P36" s="100" t="e">
        <f t="shared" si="6"/>
        <v>#N/A</v>
      </c>
      <c r="Q36" s="100" t="e">
        <f t="shared" si="7"/>
        <v>#N/A</v>
      </c>
    </row>
    <row r="37" spans="1:17">
      <c r="A37" s="75" t="s">
        <v>17</v>
      </c>
      <c r="B37" s="75"/>
      <c r="C37" s="75"/>
      <c r="D37" s="75"/>
      <c r="E37" s="75" t="s">
        <v>343</v>
      </c>
      <c r="F37" s="100" t="e">
        <f>VLOOKUP(E37,工资表明细!C:AF,30,0)</f>
        <v>#N/A</v>
      </c>
      <c r="G37" s="100" t="e">
        <f t="shared" si="4"/>
        <v>#N/A</v>
      </c>
      <c r="H37" s="100" t="e">
        <f t="shared" si="5"/>
        <v>#N/A</v>
      </c>
      <c r="I37" s="75"/>
      <c r="J37" s="100" t="e">
        <f>VLOOKUP(E37,工资表明细!C:BF,56,0)</f>
        <v>#N/A</v>
      </c>
      <c r="K37" s="75"/>
      <c r="L37" s="75" t="e">
        <f>VLOOKUP(E37,工资表明细!C:J,6,0)</f>
        <v>#N/A</v>
      </c>
      <c r="M37" s="100" t="e">
        <f>VLOOKUP(E37,工资表明细!C:J,7,0)</f>
        <v>#N/A</v>
      </c>
      <c r="N37" s="100" t="e">
        <f>VLOOKUP(E37,工资表明细!C:J,8,0)</f>
        <v>#N/A</v>
      </c>
      <c r="O37" s="100"/>
      <c r="P37" s="100" t="e">
        <f t="shared" si="6"/>
        <v>#N/A</v>
      </c>
      <c r="Q37" s="100" t="e">
        <f t="shared" si="7"/>
        <v>#N/A</v>
      </c>
    </row>
    <row r="38" spans="1:17">
      <c r="A38" s="75" t="s">
        <v>13</v>
      </c>
      <c r="B38" s="75"/>
      <c r="C38" s="75"/>
      <c r="D38" s="75"/>
      <c r="E38" s="75" t="s">
        <v>345</v>
      </c>
      <c r="F38" s="100" t="e">
        <f>VLOOKUP(E38,工资表明细!C:AF,30,0)</f>
        <v>#N/A</v>
      </c>
      <c r="G38" s="100" t="e">
        <f t="shared" si="4"/>
        <v>#N/A</v>
      </c>
      <c r="H38" s="100" t="e">
        <f t="shared" si="5"/>
        <v>#N/A</v>
      </c>
      <c r="I38" s="75"/>
      <c r="J38" s="100" t="e">
        <f>VLOOKUP(E38,工资表明细!C:BF,56,0)</f>
        <v>#N/A</v>
      </c>
      <c r="K38" s="75"/>
      <c r="L38" s="75" t="e">
        <f>VLOOKUP(E38,工资表明细!C:J,6,0)</f>
        <v>#N/A</v>
      </c>
      <c r="M38" s="100" t="e">
        <f>VLOOKUP(E38,工资表明细!C:J,7,0)</f>
        <v>#N/A</v>
      </c>
      <c r="N38" s="100" t="e">
        <f>VLOOKUP(E38,工资表明细!C:J,8,0)</f>
        <v>#N/A</v>
      </c>
      <c r="O38" s="100"/>
      <c r="P38" s="100" t="e">
        <f t="shared" si="6"/>
        <v>#N/A</v>
      </c>
      <c r="Q38" s="100" t="e">
        <f t="shared" si="7"/>
        <v>#N/A</v>
      </c>
    </row>
    <row r="39" spans="1:17">
      <c r="A39" s="75" t="s">
        <v>17</v>
      </c>
      <c r="B39" s="75"/>
      <c r="C39" s="75"/>
      <c r="D39" s="75"/>
      <c r="E39" s="75" t="s">
        <v>347</v>
      </c>
      <c r="F39" s="100" t="e">
        <f>VLOOKUP(E39,工资表明细!C:AF,30,0)</f>
        <v>#N/A</v>
      </c>
      <c r="G39" s="100" t="e">
        <f t="shared" si="4"/>
        <v>#N/A</v>
      </c>
      <c r="H39" s="100" t="e">
        <f t="shared" si="5"/>
        <v>#N/A</v>
      </c>
      <c r="I39" s="75"/>
      <c r="J39" s="100" t="e">
        <f>VLOOKUP(E39,工资表明细!C:BF,56,0)</f>
        <v>#N/A</v>
      </c>
      <c r="K39" s="75"/>
      <c r="L39" s="75" t="e">
        <f>VLOOKUP(E39,工资表明细!C:J,6,0)</f>
        <v>#N/A</v>
      </c>
      <c r="M39" s="100" t="e">
        <f>VLOOKUP(E39,工资表明细!C:J,7,0)</f>
        <v>#N/A</v>
      </c>
      <c r="N39" s="100" t="e">
        <f>VLOOKUP(E39,工资表明细!C:J,8,0)</f>
        <v>#N/A</v>
      </c>
      <c r="O39" s="100"/>
      <c r="P39" s="100" t="e">
        <f t="shared" si="6"/>
        <v>#N/A</v>
      </c>
      <c r="Q39" s="100" t="e">
        <f t="shared" si="7"/>
        <v>#N/A</v>
      </c>
    </row>
    <row r="40" spans="1:17">
      <c r="A40" s="75" t="s">
        <v>11</v>
      </c>
      <c r="B40" s="75"/>
      <c r="C40" s="75"/>
      <c r="D40" s="75"/>
      <c r="E40" s="75" t="s">
        <v>349</v>
      </c>
      <c r="F40" s="100" t="e">
        <f>VLOOKUP(E40,工资表明细!C:AF,30,0)</f>
        <v>#N/A</v>
      </c>
      <c r="G40" s="100" t="e">
        <f t="shared" si="4"/>
        <v>#N/A</v>
      </c>
      <c r="H40" s="100" t="e">
        <f t="shared" si="5"/>
        <v>#N/A</v>
      </c>
      <c r="I40" s="75"/>
      <c r="J40" s="100" t="e">
        <f>VLOOKUP(E40,工资表明细!C:BF,56,0)</f>
        <v>#N/A</v>
      </c>
      <c r="K40" s="75"/>
      <c r="L40" s="75" t="e">
        <f>VLOOKUP(E40,工资表明细!C:J,6,0)</f>
        <v>#N/A</v>
      </c>
      <c r="M40" s="100" t="e">
        <f>VLOOKUP(E40,工资表明细!C:J,7,0)</f>
        <v>#N/A</v>
      </c>
      <c r="N40" s="100" t="e">
        <f>VLOOKUP(E40,工资表明细!C:J,8,0)</f>
        <v>#N/A</v>
      </c>
      <c r="O40" s="100"/>
      <c r="P40" s="100" t="e">
        <f t="shared" si="6"/>
        <v>#N/A</v>
      </c>
      <c r="Q40" s="100" t="e">
        <f t="shared" si="7"/>
        <v>#N/A</v>
      </c>
    </row>
    <row r="41" spans="1:17">
      <c r="A41" s="75" t="s">
        <v>11</v>
      </c>
      <c r="B41" s="75"/>
      <c r="C41" s="75"/>
      <c r="D41" s="75"/>
      <c r="E41" s="75" t="s">
        <v>351</v>
      </c>
      <c r="F41" s="100" t="e">
        <f>VLOOKUP(E41,工资表明细!C:AF,30,0)</f>
        <v>#N/A</v>
      </c>
      <c r="G41" s="100" t="e">
        <f t="shared" si="4"/>
        <v>#N/A</v>
      </c>
      <c r="H41" s="100" t="e">
        <f t="shared" si="5"/>
        <v>#N/A</v>
      </c>
      <c r="I41" s="75"/>
      <c r="J41" s="100" t="e">
        <f>VLOOKUP(E41,工资表明细!C:BF,56,0)</f>
        <v>#N/A</v>
      </c>
      <c r="K41" s="75"/>
      <c r="L41" s="75" t="e">
        <f>VLOOKUP(E41,工资表明细!C:J,6,0)</f>
        <v>#N/A</v>
      </c>
      <c r="M41" s="100" t="e">
        <f>VLOOKUP(E41,工资表明细!C:J,7,0)</f>
        <v>#N/A</v>
      </c>
      <c r="N41" s="100" t="e">
        <f>VLOOKUP(E41,工资表明细!C:J,8,0)</f>
        <v>#N/A</v>
      </c>
      <c r="O41" s="100"/>
      <c r="P41" s="100" t="e">
        <f t="shared" si="6"/>
        <v>#N/A</v>
      </c>
      <c r="Q41" s="100" t="e">
        <f t="shared" si="7"/>
        <v>#N/A</v>
      </c>
    </row>
    <row r="42" spans="1:17">
      <c r="A42" s="75" t="s">
        <v>11</v>
      </c>
      <c r="B42" s="75"/>
      <c r="C42" s="75"/>
      <c r="D42" s="75"/>
      <c r="E42" s="75" t="s">
        <v>353</v>
      </c>
      <c r="F42" s="100" t="e">
        <f>VLOOKUP(E42,工资表明细!C:AF,30,0)</f>
        <v>#N/A</v>
      </c>
      <c r="G42" s="100" t="e">
        <f t="shared" si="4"/>
        <v>#N/A</v>
      </c>
      <c r="H42" s="100" t="e">
        <f t="shared" si="5"/>
        <v>#N/A</v>
      </c>
      <c r="I42" s="75"/>
      <c r="J42" s="100" t="e">
        <f>VLOOKUP(E42,工资表明细!C:BF,56,0)</f>
        <v>#N/A</v>
      </c>
      <c r="K42" s="75"/>
      <c r="L42" s="75" t="e">
        <f>VLOOKUP(E42,工资表明细!C:J,6,0)</f>
        <v>#N/A</v>
      </c>
      <c r="M42" s="100" t="e">
        <f>VLOOKUP(E42,工资表明细!C:J,7,0)</f>
        <v>#N/A</v>
      </c>
      <c r="N42" s="100" t="e">
        <f>VLOOKUP(E42,工资表明细!C:J,8,0)</f>
        <v>#N/A</v>
      </c>
      <c r="O42" s="100">
        <f>0.5*8</f>
        <v>4</v>
      </c>
      <c r="P42" s="100" t="e">
        <f t="shared" si="6"/>
        <v>#N/A</v>
      </c>
      <c r="Q42" s="100" t="e">
        <f t="shared" si="7"/>
        <v>#N/A</v>
      </c>
    </row>
    <row r="43" spans="1:17">
      <c r="A43" s="75" t="s">
        <v>11</v>
      </c>
      <c r="B43" s="75"/>
      <c r="C43" s="75"/>
      <c r="D43" s="75"/>
      <c r="E43" s="75" t="s">
        <v>355</v>
      </c>
      <c r="F43" s="100" t="e">
        <f>VLOOKUP(E43,工资表明细!C:AF,30,0)</f>
        <v>#N/A</v>
      </c>
      <c r="G43" s="100" t="e">
        <f t="shared" si="4"/>
        <v>#N/A</v>
      </c>
      <c r="H43" s="100" t="e">
        <f t="shared" si="5"/>
        <v>#N/A</v>
      </c>
      <c r="I43" s="75"/>
      <c r="J43" s="100" t="e">
        <f>VLOOKUP(E43,工资表明细!C:BF,56,0)</f>
        <v>#N/A</v>
      </c>
      <c r="K43" s="75"/>
      <c r="L43" s="75" t="e">
        <f>VLOOKUP(E43,工资表明细!C:J,6,0)</f>
        <v>#N/A</v>
      </c>
      <c r="M43" s="100" t="e">
        <f>VLOOKUP(E43,工资表明细!C:J,7,0)</f>
        <v>#N/A</v>
      </c>
      <c r="N43" s="100" t="e">
        <f>VLOOKUP(E43,工资表明细!C:J,8,0)</f>
        <v>#N/A</v>
      </c>
      <c r="O43" s="100"/>
      <c r="P43" s="100" t="e">
        <f t="shared" si="6"/>
        <v>#N/A</v>
      </c>
      <c r="Q43" s="100" t="e">
        <f t="shared" si="7"/>
        <v>#N/A</v>
      </c>
    </row>
    <row r="44" spans="1:17">
      <c r="A44" s="75" t="s">
        <v>11</v>
      </c>
      <c r="B44" s="75"/>
      <c r="C44" s="75"/>
      <c r="D44" s="75"/>
      <c r="E44" s="75" t="s">
        <v>357</v>
      </c>
      <c r="F44" s="100" t="e">
        <f>VLOOKUP(E44,工资表明细!C:AF,30,0)</f>
        <v>#N/A</v>
      </c>
      <c r="G44" s="100" t="e">
        <f t="shared" si="4"/>
        <v>#N/A</v>
      </c>
      <c r="H44" s="100" t="e">
        <f t="shared" si="5"/>
        <v>#N/A</v>
      </c>
      <c r="I44" s="75"/>
      <c r="J44" s="100" t="e">
        <f>VLOOKUP(E44,工资表明细!C:BF,56,0)</f>
        <v>#N/A</v>
      </c>
      <c r="K44" s="75"/>
      <c r="L44" s="75" t="e">
        <f>VLOOKUP(E44,工资表明细!C:J,6,0)</f>
        <v>#N/A</v>
      </c>
      <c r="M44" s="100" t="e">
        <f>VLOOKUP(E44,工资表明细!C:J,7,0)</f>
        <v>#N/A</v>
      </c>
      <c r="N44" s="100" t="e">
        <f>VLOOKUP(E44,工资表明细!C:J,8,0)</f>
        <v>#N/A</v>
      </c>
      <c r="O44" s="100"/>
      <c r="P44" s="100" t="e">
        <f t="shared" si="6"/>
        <v>#N/A</v>
      </c>
      <c r="Q44" s="100" t="e">
        <f t="shared" si="7"/>
        <v>#N/A</v>
      </c>
    </row>
    <row r="45" spans="1:17">
      <c r="A45" s="75" t="s">
        <v>11</v>
      </c>
      <c r="B45" s="75"/>
      <c r="C45" s="75"/>
      <c r="D45" s="75"/>
      <c r="E45" s="75" t="s">
        <v>359</v>
      </c>
      <c r="F45" s="100" t="e">
        <f>VLOOKUP(E45,工资表明细!C:AF,30,0)</f>
        <v>#N/A</v>
      </c>
      <c r="G45" s="100" t="e">
        <f t="shared" si="4"/>
        <v>#N/A</v>
      </c>
      <c r="H45" s="100" t="e">
        <f t="shared" si="5"/>
        <v>#N/A</v>
      </c>
      <c r="I45" s="75"/>
      <c r="J45" s="100" t="e">
        <f>VLOOKUP(E45,工资表明细!C:BF,56,0)</f>
        <v>#N/A</v>
      </c>
      <c r="K45" s="75"/>
      <c r="L45" s="75" t="e">
        <f>VLOOKUP(E45,工资表明细!C:J,6,0)</f>
        <v>#N/A</v>
      </c>
      <c r="M45" s="100" t="e">
        <f>VLOOKUP(E45,工资表明细!C:J,7,0)</f>
        <v>#N/A</v>
      </c>
      <c r="N45" s="100" t="e">
        <f>VLOOKUP(E45,工资表明细!C:J,8,0)</f>
        <v>#N/A</v>
      </c>
      <c r="O45" s="100"/>
      <c r="P45" s="100" t="e">
        <f t="shared" si="6"/>
        <v>#N/A</v>
      </c>
      <c r="Q45" s="100" t="e">
        <f t="shared" si="7"/>
        <v>#N/A</v>
      </c>
    </row>
    <row r="46" spans="1:17">
      <c r="A46" s="75" t="s">
        <v>11</v>
      </c>
      <c r="B46" s="75"/>
      <c r="C46" s="75"/>
      <c r="D46" s="75"/>
      <c r="E46" s="75" t="s">
        <v>361</v>
      </c>
      <c r="F46" s="100" t="e">
        <f>VLOOKUP(E46,工资表明细!C:AF,30,0)</f>
        <v>#N/A</v>
      </c>
      <c r="G46" s="100" t="e">
        <f t="shared" si="4"/>
        <v>#N/A</v>
      </c>
      <c r="H46" s="100" t="e">
        <f t="shared" si="5"/>
        <v>#N/A</v>
      </c>
      <c r="I46" s="75"/>
      <c r="J46" s="100" t="e">
        <f>VLOOKUP(E46,工资表明细!C:BF,56,0)</f>
        <v>#N/A</v>
      </c>
      <c r="K46" s="75"/>
      <c r="L46" s="75" t="e">
        <f>VLOOKUP(E46,工资表明细!C:J,6,0)</f>
        <v>#N/A</v>
      </c>
      <c r="M46" s="100" t="e">
        <f>VLOOKUP(E46,工资表明细!C:J,7,0)</f>
        <v>#N/A</v>
      </c>
      <c r="N46" s="100" t="e">
        <f>VLOOKUP(E46,工资表明细!C:J,8,0)</f>
        <v>#N/A</v>
      </c>
      <c r="O46" s="100"/>
      <c r="P46" s="100" t="e">
        <f t="shared" si="6"/>
        <v>#N/A</v>
      </c>
      <c r="Q46" s="100" t="e">
        <f t="shared" si="7"/>
        <v>#N/A</v>
      </c>
    </row>
    <row r="47" spans="1:17">
      <c r="A47" s="75" t="s">
        <v>11</v>
      </c>
      <c r="B47" s="75"/>
      <c r="C47" s="75"/>
      <c r="D47" s="75"/>
      <c r="E47" s="75" t="s">
        <v>363</v>
      </c>
      <c r="F47" s="100" t="e">
        <f>VLOOKUP(E47,工资表明细!C:AF,30,0)</f>
        <v>#N/A</v>
      </c>
      <c r="G47" s="100" t="e">
        <f t="shared" si="4"/>
        <v>#N/A</v>
      </c>
      <c r="H47" s="100" t="e">
        <f t="shared" si="5"/>
        <v>#N/A</v>
      </c>
      <c r="I47" s="75"/>
      <c r="J47" s="100" t="e">
        <f>VLOOKUP(E47,工资表明细!C:BF,56,0)</f>
        <v>#N/A</v>
      </c>
      <c r="K47" s="75"/>
      <c r="L47" s="75" t="e">
        <f>VLOOKUP(E47,工资表明细!C:J,6,0)</f>
        <v>#N/A</v>
      </c>
      <c r="M47" s="100" t="e">
        <f>VLOOKUP(E47,工资表明细!C:J,7,0)</f>
        <v>#N/A</v>
      </c>
      <c r="N47" s="100" t="e">
        <f>VLOOKUP(E47,工资表明细!C:J,8,0)</f>
        <v>#N/A</v>
      </c>
      <c r="O47" s="100"/>
      <c r="P47" s="100" t="e">
        <f t="shared" si="6"/>
        <v>#N/A</v>
      </c>
      <c r="Q47" s="100" t="e">
        <f t="shared" si="7"/>
        <v>#N/A</v>
      </c>
    </row>
    <row r="48" spans="1:17">
      <c r="A48" s="75" t="s">
        <v>15</v>
      </c>
      <c r="B48" s="75"/>
      <c r="C48" s="75"/>
      <c r="D48" s="75"/>
      <c r="E48" s="75" t="s">
        <v>365</v>
      </c>
      <c r="F48" s="100" t="e">
        <f>VLOOKUP(E48,工资表明细!C:AF,30,0)</f>
        <v>#N/A</v>
      </c>
      <c r="G48" s="100" t="e">
        <f t="shared" si="4"/>
        <v>#N/A</v>
      </c>
      <c r="H48" s="100" t="e">
        <f t="shared" si="5"/>
        <v>#N/A</v>
      </c>
      <c r="I48" s="75"/>
      <c r="J48" s="100" t="e">
        <f>VLOOKUP(E48,工资表明细!C:BF,56,0)</f>
        <v>#N/A</v>
      </c>
      <c r="K48" s="75"/>
      <c r="L48" s="75" t="e">
        <f>VLOOKUP(E48,工资表明细!C:J,6,0)</f>
        <v>#N/A</v>
      </c>
      <c r="M48" s="100" t="e">
        <f>VLOOKUP(E48,工资表明细!C:J,7,0)</f>
        <v>#N/A</v>
      </c>
      <c r="N48" s="100" t="e">
        <f>VLOOKUP(E48,工资表明细!C:J,8,0)</f>
        <v>#N/A</v>
      </c>
      <c r="O48" s="100"/>
      <c r="P48" s="100" t="e">
        <f t="shared" si="6"/>
        <v>#N/A</v>
      </c>
      <c r="Q48" s="100" t="e">
        <f t="shared" si="7"/>
        <v>#N/A</v>
      </c>
    </row>
    <row r="49" spans="1:17">
      <c r="A49" s="75" t="s">
        <v>11</v>
      </c>
      <c r="B49" s="75"/>
      <c r="C49" s="75"/>
      <c r="D49" s="75"/>
      <c r="E49" s="75" t="s">
        <v>367</v>
      </c>
      <c r="F49" s="100" t="e">
        <f>VLOOKUP(E49,工资表明细!C:AF,30,0)</f>
        <v>#N/A</v>
      </c>
      <c r="G49" s="100" t="e">
        <f t="shared" si="4"/>
        <v>#N/A</v>
      </c>
      <c r="H49" s="100" t="e">
        <f t="shared" si="5"/>
        <v>#N/A</v>
      </c>
      <c r="I49" s="75"/>
      <c r="J49" s="100" t="e">
        <f>VLOOKUP(E49,工资表明细!C:BF,56,0)</f>
        <v>#N/A</v>
      </c>
      <c r="K49" s="75"/>
      <c r="L49" s="75" t="e">
        <f>VLOOKUP(E49,工资表明细!C:J,6,0)</f>
        <v>#N/A</v>
      </c>
      <c r="M49" s="100" t="e">
        <f>VLOOKUP(E49,工资表明细!C:J,7,0)</f>
        <v>#N/A</v>
      </c>
      <c r="N49" s="100" t="e">
        <f>VLOOKUP(E49,工资表明细!C:J,8,0)</f>
        <v>#N/A</v>
      </c>
      <c r="O49" s="100"/>
      <c r="P49" s="100" t="e">
        <f t="shared" si="6"/>
        <v>#N/A</v>
      </c>
      <c r="Q49" s="100" t="e">
        <f t="shared" si="7"/>
        <v>#N/A</v>
      </c>
    </row>
    <row r="50" spans="1:17">
      <c r="A50" s="75" t="s">
        <v>15</v>
      </c>
      <c r="B50" s="75"/>
      <c r="C50" s="75"/>
      <c r="D50" s="75"/>
      <c r="E50" s="75" t="s">
        <v>369</v>
      </c>
      <c r="F50" s="100" t="e">
        <f>VLOOKUP(E50,工资表明细!C:AF,30,0)</f>
        <v>#N/A</v>
      </c>
      <c r="G50" s="100" t="e">
        <f t="shared" si="4"/>
        <v>#N/A</v>
      </c>
      <c r="H50" s="100" t="e">
        <f t="shared" si="5"/>
        <v>#N/A</v>
      </c>
      <c r="I50" s="75"/>
      <c r="J50" s="100" t="e">
        <f>VLOOKUP(E50,工资表明细!C:BF,56,0)</f>
        <v>#N/A</v>
      </c>
      <c r="K50" s="75"/>
      <c r="L50" s="75" t="e">
        <f>VLOOKUP(E50,工资表明细!C:J,6,0)</f>
        <v>#N/A</v>
      </c>
      <c r="M50" s="100" t="e">
        <f>VLOOKUP(E50,工资表明细!C:J,7,0)</f>
        <v>#N/A</v>
      </c>
      <c r="N50" s="100" t="e">
        <f>VLOOKUP(E50,工资表明细!C:J,8,0)</f>
        <v>#N/A</v>
      </c>
      <c r="O50" s="100"/>
      <c r="P50" s="100" t="e">
        <f t="shared" si="6"/>
        <v>#N/A</v>
      </c>
      <c r="Q50" s="100" t="e">
        <f t="shared" si="7"/>
        <v>#N/A</v>
      </c>
    </row>
    <row r="51" spans="1:17">
      <c r="A51" s="75" t="s">
        <v>11</v>
      </c>
      <c r="B51" s="75"/>
      <c r="C51" s="75"/>
      <c r="D51" s="75"/>
      <c r="E51" s="75" t="s">
        <v>371</v>
      </c>
      <c r="F51" s="100" t="e">
        <f>VLOOKUP(E51,工资表明细!C:AF,30,0)</f>
        <v>#N/A</v>
      </c>
      <c r="G51" s="100" t="e">
        <f t="shared" si="4"/>
        <v>#N/A</v>
      </c>
      <c r="H51" s="100" t="e">
        <f t="shared" si="5"/>
        <v>#N/A</v>
      </c>
      <c r="I51" s="75"/>
      <c r="J51" s="100" t="e">
        <f>VLOOKUP(E51,工资表明细!C:BF,56,0)</f>
        <v>#N/A</v>
      </c>
      <c r="K51" s="75"/>
      <c r="L51" s="75" t="e">
        <f>VLOOKUP(E51,工资表明细!C:J,6,0)</f>
        <v>#N/A</v>
      </c>
      <c r="M51" s="100" t="e">
        <f>VLOOKUP(E51,工资表明细!C:J,7,0)</f>
        <v>#N/A</v>
      </c>
      <c r="N51" s="100" t="e">
        <f>VLOOKUP(E51,工资表明细!C:J,8,0)</f>
        <v>#N/A</v>
      </c>
      <c r="O51" s="100"/>
      <c r="P51" s="100" t="e">
        <f t="shared" si="6"/>
        <v>#N/A</v>
      </c>
      <c r="Q51" s="100" t="e">
        <f t="shared" si="7"/>
        <v>#N/A</v>
      </c>
    </row>
    <row r="52" spans="1:17">
      <c r="A52" s="75" t="s">
        <v>11</v>
      </c>
      <c r="B52" s="75"/>
      <c r="C52" s="75"/>
      <c r="D52" s="75"/>
      <c r="E52" s="75" t="s">
        <v>375</v>
      </c>
      <c r="F52" s="100" t="e">
        <f>VLOOKUP(E52,工资表明细!C:AF,30,0)</f>
        <v>#N/A</v>
      </c>
      <c r="G52" s="100" t="e">
        <f t="shared" si="4"/>
        <v>#N/A</v>
      </c>
      <c r="H52" s="100" t="e">
        <f t="shared" si="5"/>
        <v>#N/A</v>
      </c>
      <c r="I52" s="75"/>
      <c r="J52" s="100" t="e">
        <f>VLOOKUP(E52,工资表明细!C:BF,56,0)</f>
        <v>#N/A</v>
      </c>
      <c r="K52" s="75"/>
      <c r="L52" s="75" t="e">
        <f>VLOOKUP(E52,工资表明细!C:J,6,0)</f>
        <v>#N/A</v>
      </c>
      <c r="M52" s="100" t="e">
        <f>VLOOKUP(E52,工资表明细!C:J,7,0)</f>
        <v>#N/A</v>
      </c>
      <c r="N52" s="100" t="e">
        <f>VLOOKUP(E52,工资表明细!C:J,8,0)</f>
        <v>#N/A</v>
      </c>
      <c r="O52" s="100"/>
      <c r="P52" s="100" t="e">
        <f t="shared" si="6"/>
        <v>#N/A</v>
      </c>
      <c r="Q52" s="100" t="e">
        <f t="shared" si="7"/>
        <v>#N/A</v>
      </c>
    </row>
    <row r="53" spans="1:17">
      <c r="A53" s="75" t="s">
        <v>11</v>
      </c>
      <c r="B53" s="75"/>
      <c r="C53" s="75"/>
      <c r="D53" s="75"/>
      <c r="E53" s="75" t="s">
        <v>377</v>
      </c>
      <c r="F53" s="100" t="e">
        <f>VLOOKUP(E53,工资表明细!C:AF,30,0)</f>
        <v>#N/A</v>
      </c>
      <c r="G53" s="100" t="e">
        <f t="shared" si="4"/>
        <v>#N/A</v>
      </c>
      <c r="H53" s="100" t="e">
        <f t="shared" si="5"/>
        <v>#N/A</v>
      </c>
      <c r="I53" s="75"/>
      <c r="J53" s="100" t="e">
        <f>VLOOKUP(E53,工资表明细!C:BF,56,0)</f>
        <v>#N/A</v>
      </c>
      <c r="K53" s="75"/>
      <c r="L53" s="75" t="e">
        <f>VLOOKUP(E53,工资表明细!C:J,6,0)</f>
        <v>#N/A</v>
      </c>
      <c r="M53" s="100" t="e">
        <f>VLOOKUP(E53,工资表明细!C:J,7,0)</f>
        <v>#N/A</v>
      </c>
      <c r="N53" s="100" t="e">
        <f>VLOOKUP(E53,工资表明细!C:J,8,0)</f>
        <v>#N/A</v>
      </c>
      <c r="O53" s="100"/>
      <c r="P53" s="100" t="e">
        <f t="shared" si="6"/>
        <v>#N/A</v>
      </c>
      <c r="Q53" s="100" t="e">
        <f t="shared" si="7"/>
        <v>#N/A</v>
      </c>
    </row>
    <row r="54" spans="1:17">
      <c r="A54" s="75" t="s">
        <v>11</v>
      </c>
      <c r="B54" s="75"/>
      <c r="C54" s="75"/>
      <c r="D54" s="75"/>
      <c r="E54" s="75" t="s">
        <v>379</v>
      </c>
      <c r="F54" s="100" t="e">
        <f>VLOOKUP(E54,工资表明细!C:AF,30,0)</f>
        <v>#N/A</v>
      </c>
      <c r="G54" s="100" t="e">
        <f t="shared" si="4"/>
        <v>#N/A</v>
      </c>
      <c r="H54" s="100" t="e">
        <f t="shared" si="5"/>
        <v>#N/A</v>
      </c>
      <c r="I54" s="75"/>
      <c r="J54" s="100" t="e">
        <f>VLOOKUP(E54,工资表明细!C:BF,56,0)</f>
        <v>#N/A</v>
      </c>
      <c r="K54" s="75"/>
      <c r="L54" s="75" t="e">
        <f>VLOOKUP(E54,工资表明细!C:J,6,0)</f>
        <v>#N/A</v>
      </c>
      <c r="M54" s="100" t="e">
        <f>VLOOKUP(E54,工资表明细!C:J,7,0)</f>
        <v>#N/A</v>
      </c>
      <c r="N54" s="100" t="e">
        <f>VLOOKUP(E54,工资表明细!C:J,8,0)</f>
        <v>#N/A</v>
      </c>
      <c r="O54" s="100"/>
      <c r="P54" s="100" t="e">
        <f t="shared" si="6"/>
        <v>#N/A</v>
      </c>
      <c r="Q54" s="100" t="e">
        <f t="shared" si="7"/>
        <v>#N/A</v>
      </c>
    </row>
    <row r="55" spans="1:17">
      <c r="A55" s="75" t="s">
        <v>11</v>
      </c>
      <c r="B55" s="75"/>
      <c r="C55" s="75"/>
      <c r="D55" s="75"/>
      <c r="E55" s="75" t="s">
        <v>381</v>
      </c>
      <c r="F55" s="100" t="e">
        <f>VLOOKUP(E55,工资表明细!C:AF,30,0)</f>
        <v>#N/A</v>
      </c>
      <c r="G55" s="100" t="e">
        <f t="shared" si="4"/>
        <v>#N/A</v>
      </c>
      <c r="H55" s="100" t="e">
        <f t="shared" si="5"/>
        <v>#N/A</v>
      </c>
      <c r="I55" s="75"/>
      <c r="J55" s="100" t="e">
        <f>VLOOKUP(E55,工资表明细!C:BF,56,0)</f>
        <v>#N/A</v>
      </c>
      <c r="K55" s="75"/>
      <c r="L55" s="75" t="e">
        <f>VLOOKUP(E55,工资表明细!C:J,6,0)</f>
        <v>#N/A</v>
      </c>
      <c r="M55" s="100" t="e">
        <f>VLOOKUP(E55,工资表明细!C:J,7,0)</f>
        <v>#N/A</v>
      </c>
      <c r="N55" s="100" t="e">
        <f>VLOOKUP(E55,工资表明细!C:J,8,0)</f>
        <v>#N/A</v>
      </c>
      <c r="O55" s="100"/>
      <c r="P55" s="100" t="e">
        <f t="shared" si="6"/>
        <v>#N/A</v>
      </c>
      <c r="Q55" s="100" t="e">
        <f t="shared" si="7"/>
        <v>#N/A</v>
      </c>
    </row>
    <row r="56" spans="1:17">
      <c r="A56" s="75" t="s">
        <v>15</v>
      </c>
      <c r="B56" s="75"/>
      <c r="C56" s="75"/>
      <c r="D56" s="75"/>
      <c r="E56" s="75" t="s">
        <v>383</v>
      </c>
      <c r="F56" s="100" t="e">
        <f>VLOOKUP(E56,工资表明细!C:AF,30,0)</f>
        <v>#N/A</v>
      </c>
      <c r="G56" s="100" t="e">
        <f t="shared" si="4"/>
        <v>#N/A</v>
      </c>
      <c r="H56" s="100" t="e">
        <f t="shared" si="5"/>
        <v>#N/A</v>
      </c>
      <c r="I56" s="75"/>
      <c r="J56" s="100" t="e">
        <f>VLOOKUP(E56,工资表明细!C:BF,56,0)</f>
        <v>#N/A</v>
      </c>
      <c r="K56" s="75"/>
      <c r="L56" s="75" t="e">
        <f>VLOOKUP(E56,工资表明细!C:J,6,0)</f>
        <v>#N/A</v>
      </c>
      <c r="M56" s="100" t="e">
        <f>VLOOKUP(E56,工资表明细!C:J,7,0)</f>
        <v>#N/A</v>
      </c>
      <c r="N56" s="100" t="e">
        <f>VLOOKUP(E56,工资表明细!C:J,8,0)</f>
        <v>#N/A</v>
      </c>
      <c r="O56" s="100"/>
      <c r="P56" s="100" t="e">
        <f t="shared" si="6"/>
        <v>#N/A</v>
      </c>
      <c r="Q56" s="100" t="e">
        <f t="shared" si="7"/>
        <v>#N/A</v>
      </c>
    </row>
    <row r="57" spans="1:17">
      <c r="A57" s="75" t="s">
        <v>11</v>
      </c>
      <c r="B57" s="75"/>
      <c r="C57" s="75"/>
      <c r="D57" s="75"/>
      <c r="E57" s="75" t="s">
        <v>385</v>
      </c>
      <c r="F57" s="100" t="e">
        <f>VLOOKUP(E57,工资表明细!C:AF,30,0)</f>
        <v>#N/A</v>
      </c>
      <c r="G57" s="100" t="e">
        <f t="shared" si="4"/>
        <v>#N/A</v>
      </c>
      <c r="H57" s="100" t="e">
        <f t="shared" si="5"/>
        <v>#N/A</v>
      </c>
      <c r="I57" s="75"/>
      <c r="J57" s="100" t="e">
        <f>VLOOKUP(E57,工资表明细!C:BF,56,0)</f>
        <v>#N/A</v>
      </c>
      <c r="K57" s="75"/>
      <c r="L57" s="75" t="e">
        <f>VLOOKUP(E57,工资表明细!C:J,6,0)</f>
        <v>#N/A</v>
      </c>
      <c r="M57" s="100" t="e">
        <f>VLOOKUP(E57,工资表明细!C:J,7,0)</f>
        <v>#N/A</v>
      </c>
      <c r="N57" s="100" t="e">
        <f>VLOOKUP(E57,工资表明细!C:J,8,0)</f>
        <v>#N/A</v>
      </c>
      <c r="O57" s="100"/>
      <c r="P57" s="100" t="e">
        <f t="shared" si="6"/>
        <v>#N/A</v>
      </c>
      <c r="Q57" s="100" t="e">
        <f t="shared" si="7"/>
        <v>#N/A</v>
      </c>
    </row>
    <row r="58" spans="1:17">
      <c r="A58" s="75" t="s">
        <v>11</v>
      </c>
      <c r="B58" s="75"/>
      <c r="C58" s="75"/>
      <c r="D58" s="75"/>
      <c r="E58" s="75" t="s">
        <v>387</v>
      </c>
      <c r="F58" s="100" t="e">
        <f>VLOOKUP(E58,工资表明细!C:AF,30,0)</f>
        <v>#N/A</v>
      </c>
      <c r="G58" s="100" t="e">
        <f t="shared" si="4"/>
        <v>#N/A</v>
      </c>
      <c r="H58" s="100" t="e">
        <f t="shared" si="5"/>
        <v>#N/A</v>
      </c>
      <c r="I58" s="75"/>
      <c r="J58" s="100" t="e">
        <f>VLOOKUP(E58,工资表明细!C:BF,56,0)</f>
        <v>#N/A</v>
      </c>
      <c r="K58" s="75"/>
      <c r="L58" s="75" t="e">
        <f>VLOOKUP(E58,工资表明细!C:J,6,0)</f>
        <v>#N/A</v>
      </c>
      <c r="M58" s="100" t="e">
        <f>VLOOKUP(E58,工资表明细!C:J,7,0)</f>
        <v>#N/A</v>
      </c>
      <c r="N58" s="100" t="e">
        <f>VLOOKUP(E58,工资表明细!C:J,8,0)</f>
        <v>#N/A</v>
      </c>
      <c r="O58" s="100"/>
      <c r="P58" s="100" t="e">
        <f t="shared" si="6"/>
        <v>#N/A</v>
      </c>
      <c r="Q58" s="100" t="e">
        <f t="shared" si="7"/>
        <v>#N/A</v>
      </c>
    </row>
    <row r="59" spans="1:17">
      <c r="A59" s="75" t="s">
        <v>11</v>
      </c>
      <c r="B59" s="75"/>
      <c r="C59" s="75"/>
      <c r="D59" s="75"/>
      <c r="E59" s="75" t="s">
        <v>389</v>
      </c>
      <c r="F59" s="100" t="e">
        <f>VLOOKUP(E59,工资表明细!C:AF,30,0)</f>
        <v>#N/A</v>
      </c>
      <c r="G59" s="100" t="e">
        <f t="shared" si="4"/>
        <v>#N/A</v>
      </c>
      <c r="H59" s="100" t="e">
        <f t="shared" si="5"/>
        <v>#N/A</v>
      </c>
      <c r="I59" s="75"/>
      <c r="J59" s="100" t="e">
        <f>VLOOKUP(E59,工资表明细!C:BF,56,0)</f>
        <v>#N/A</v>
      </c>
      <c r="K59" s="75"/>
      <c r="L59" s="75" t="e">
        <f>VLOOKUP(E59,工资表明细!C:J,6,0)</f>
        <v>#N/A</v>
      </c>
      <c r="M59" s="100" t="e">
        <f>VLOOKUP(E59,工资表明细!C:J,7,0)</f>
        <v>#N/A</v>
      </c>
      <c r="N59" s="100" t="e">
        <f>VLOOKUP(E59,工资表明细!C:J,8,0)</f>
        <v>#N/A</v>
      </c>
      <c r="O59" s="100"/>
      <c r="P59" s="100" t="e">
        <f t="shared" si="6"/>
        <v>#N/A</v>
      </c>
      <c r="Q59" s="100" t="e">
        <f t="shared" si="7"/>
        <v>#N/A</v>
      </c>
    </row>
    <row r="60" spans="1:17">
      <c r="A60" s="75" t="s">
        <v>15</v>
      </c>
      <c r="B60" s="75"/>
      <c r="C60" s="75"/>
      <c r="D60" s="75"/>
      <c r="E60" s="75" t="s">
        <v>391</v>
      </c>
      <c r="F60" s="100" t="e">
        <f>VLOOKUP(E60,工资表明细!C:AF,30,0)</f>
        <v>#N/A</v>
      </c>
      <c r="G60" s="100" t="e">
        <f t="shared" si="4"/>
        <v>#N/A</v>
      </c>
      <c r="H60" s="100" t="e">
        <f t="shared" si="5"/>
        <v>#N/A</v>
      </c>
      <c r="I60" s="75"/>
      <c r="J60" s="100" t="e">
        <f>VLOOKUP(E60,工资表明细!C:BF,56,0)</f>
        <v>#N/A</v>
      </c>
      <c r="K60" s="75"/>
      <c r="L60" s="75" t="e">
        <f>VLOOKUP(E60,工资表明细!C:J,6,0)</f>
        <v>#N/A</v>
      </c>
      <c r="M60" s="100" t="e">
        <f>VLOOKUP(E60,工资表明细!C:J,7,0)</f>
        <v>#N/A</v>
      </c>
      <c r="N60" s="100" t="e">
        <f>VLOOKUP(E60,工资表明细!C:J,8,0)</f>
        <v>#N/A</v>
      </c>
      <c r="O60" s="100"/>
      <c r="P60" s="100" t="e">
        <f t="shared" si="6"/>
        <v>#N/A</v>
      </c>
      <c r="Q60" s="100" t="e">
        <f t="shared" si="7"/>
        <v>#N/A</v>
      </c>
    </row>
    <row r="61" spans="1:17">
      <c r="A61" s="75" t="s">
        <v>15</v>
      </c>
      <c r="B61" s="75"/>
      <c r="C61" s="75"/>
      <c r="D61" s="75"/>
      <c r="E61" s="75" t="s">
        <v>393</v>
      </c>
      <c r="F61" s="100" t="e">
        <f>VLOOKUP(E61,工资表明细!C:AF,30,0)</f>
        <v>#N/A</v>
      </c>
      <c r="G61" s="100" t="e">
        <f t="shared" si="4"/>
        <v>#N/A</v>
      </c>
      <c r="H61" s="100" t="e">
        <f t="shared" si="5"/>
        <v>#N/A</v>
      </c>
      <c r="I61" s="75"/>
      <c r="J61" s="100" t="e">
        <f>VLOOKUP(E61,工资表明细!C:BF,56,0)</f>
        <v>#N/A</v>
      </c>
      <c r="K61" s="75"/>
      <c r="L61" s="75" t="e">
        <f>VLOOKUP(E61,工资表明细!C:J,6,0)</f>
        <v>#N/A</v>
      </c>
      <c r="M61" s="100" t="e">
        <f>VLOOKUP(E61,工资表明细!C:J,7,0)</f>
        <v>#N/A</v>
      </c>
      <c r="N61" s="100" t="e">
        <f>VLOOKUP(E61,工资表明细!C:J,8,0)</f>
        <v>#N/A</v>
      </c>
      <c r="O61" s="100"/>
      <c r="P61" s="100" t="e">
        <f t="shared" si="6"/>
        <v>#N/A</v>
      </c>
      <c r="Q61" s="100" t="e">
        <f t="shared" si="7"/>
        <v>#N/A</v>
      </c>
    </row>
    <row r="62" spans="1:17">
      <c r="A62" s="75" t="s">
        <v>11</v>
      </c>
      <c r="B62" s="75"/>
      <c r="C62" s="75"/>
      <c r="D62" s="75"/>
      <c r="E62" s="75" t="s">
        <v>395</v>
      </c>
      <c r="F62" s="100" t="e">
        <f>VLOOKUP(E62,工资表明细!C:AF,30,0)</f>
        <v>#N/A</v>
      </c>
      <c r="G62" s="100" t="e">
        <f t="shared" si="4"/>
        <v>#N/A</v>
      </c>
      <c r="H62" s="100" t="e">
        <f t="shared" si="5"/>
        <v>#N/A</v>
      </c>
      <c r="I62" s="75"/>
      <c r="J62" s="100" t="e">
        <f>VLOOKUP(E62,工资表明细!C:BF,56,0)</f>
        <v>#N/A</v>
      </c>
      <c r="K62" s="75"/>
      <c r="L62" s="75" t="e">
        <f>VLOOKUP(E62,工资表明细!C:J,6,0)</f>
        <v>#N/A</v>
      </c>
      <c r="M62" s="100" t="e">
        <f>VLOOKUP(E62,工资表明细!C:J,7,0)</f>
        <v>#N/A</v>
      </c>
      <c r="N62" s="100" t="e">
        <f>VLOOKUP(E62,工资表明细!C:J,8,0)</f>
        <v>#N/A</v>
      </c>
      <c r="O62" s="100"/>
      <c r="P62" s="100" t="e">
        <f t="shared" si="6"/>
        <v>#N/A</v>
      </c>
      <c r="Q62" s="100" t="e">
        <f t="shared" si="7"/>
        <v>#N/A</v>
      </c>
    </row>
    <row r="63" spans="1:17">
      <c r="A63" s="75" t="s">
        <v>11</v>
      </c>
      <c r="B63" s="75"/>
      <c r="C63" s="75"/>
      <c r="D63" s="75"/>
      <c r="E63" s="75" t="s">
        <v>397</v>
      </c>
      <c r="F63" s="100" t="e">
        <f>VLOOKUP(E63,工资表明细!C:AF,30,0)</f>
        <v>#N/A</v>
      </c>
      <c r="G63" s="100" t="e">
        <f t="shared" si="4"/>
        <v>#N/A</v>
      </c>
      <c r="H63" s="100" t="e">
        <f t="shared" si="5"/>
        <v>#N/A</v>
      </c>
      <c r="I63" s="75"/>
      <c r="J63" s="100" t="e">
        <f>VLOOKUP(E63,工资表明细!C:BF,56,0)</f>
        <v>#N/A</v>
      </c>
      <c r="K63" s="75"/>
      <c r="L63" s="75" t="e">
        <f>VLOOKUP(E63,工资表明细!C:J,6,0)</f>
        <v>#N/A</v>
      </c>
      <c r="M63" s="100" t="e">
        <f>VLOOKUP(E63,工资表明细!C:J,7,0)</f>
        <v>#N/A</v>
      </c>
      <c r="N63" s="100" t="e">
        <f>VLOOKUP(E63,工资表明细!C:J,8,0)</f>
        <v>#N/A</v>
      </c>
      <c r="O63" s="100"/>
      <c r="P63" s="100" t="e">
        <f t="shared" si="6"/>
        <v>#N/A</v>
      </c>
      <c r="Q63" s="100" t="e">
        <f t="shared" si="7"/>
        <v>#N/A</v>
      </c>
    </row>
    <row r="64" spans="1:17">
      <c r="A64" s="75" t="s">
        <v>11</v>
      </c>
      <c r="B64" s="75"/>
      <c r="C64" s="75"/>
      <c r="D64" s="75"/>
      <c r="E64" s="75" t="s">
        <v>399</v>
      </c>
      <c r="F64" s="100" t="e">
        <f>VLOOKUP(E64,工资表明细!C:AF,30,0)</f>
        <v>#N/A</v>
      </c>
      <c r="G64" s="100" t="e">
        <f t="shared" si="4"/>
        <v>#N/A</v>
      </c>
      <c r="H64" s="100" t="e">
        <f t="shared" si="5"/>
        <v>#N/A</v>
      </c>
      <c r="I64" s="75"/>
      <c r="J64" s="100" t="e">
        <f>VLOOKUP(E64,工资表明细!C:BF,56,0)</f>
        <v>#N/A</v>
      </c>
      <c r="K64" s="75"/>
      <c r="L64" s="75" t="e">
        <f>VLOOKUP(E64,工资表明细!C:J,6,0)</f>
        <v>#N/A</v>
      </c>
      <c r="M64" s="100" t="e">
        <f>VLOOKUP(E64,工资表明细!C:J,7,0)</f>
        <v>#N/A</v>
      </c>
      <c r="N64" s="100" t="e">
        <f>VLOOKUP(E64,工资表明细!C:J,8,0)</f>
        <v>#N/A</v>
      </c>
      <c r="O64" s="100"/>
      <c r="P64" s="100" t="e">
        <f t="shared" si="6"/>
        <v>#N/A</v>
      </c>
      <c r="Q64" s="100" t="e">
        <f t="shared" si="7"/>
        <v>#N/A</v>
      </c>
    </row>
    <row r="65" spans="1:17">
      <c r="A65" s="75" t="s">
        <v>11</v>
      </c>
      <c r="B65" s="75"/>
      <c r="C65" s="75"/>
      <c r="D65" s="75"/>
      <c r="E65" s="75" t="s">
        <v>401</v>
      </c>
      <c r="F65" s="100" t="e">
        <f>VLOOKUP(E65,工资表明细!C:AF,30,0)</f>
        <v>#N/A</v>
      </c>
      <c r="G65" s="100" t="e">
        <f t="shared" si="4"/>
        <v>#N/A</v>
      </c>
      <c r="H65" s="100" t="e">
        <f t="shared" si="5"/>
        <v>#N/A</v>
      </c>
      <c r="I65" s="75"/>
      <c r="J65" s="100" t="e">
        <f>VLOOKUP(E65,工资表明细!C:BF,56,0)</f>
        <v>#N/A</v>
      </c>
      <c r="K65" s="75"/>
      <c r="L65" s="75" t="e">
        <f>VLOOKUP(E65,工资表明细!C:J,6,0)</f>
        <v>#N/A</v>
      </c>
      <c r="M65" s="100" t="e">
        <f>VLOOKUP(E65,工资表明细!C:J,7,0)</f>
        <v>#N/A</v>
      </c>
      <c r="N65" s="100" t="e">
        <f>VLOOKUP(E65,工资表明细!C:J,8,0)</f>
        <v>#N/A</v>
      </c>
      <c r="O65" s="100"/>
      <c r="P65" s="100" t="e">
        <f t="shared" si="6"/>
        <v>#N/A</v>
      </c>
      <c r="Q65" s="100" t="e">
        <f t="shared" si="7"/>
        <v>#N/A</v>
      </c>
    </row>
    <row r="66" spans="1:17">
      <c r="A66" s="75" t="s">
        <v>11</v>
      </c>
      <c r="B66" s="75"/>
      <c r="C66" s="75"/>
      <c r="D66" s="75"/>
      <c r="E66" s="75" t="s">
        <v>403</v>
      </c>
      <c r="F66" s="100" t="e">
        <f>VLOOKUP(E66,工资表明细!C:AF,30,0)</f>
        <v>#N/A</v>
      </c>
      <c r="G66" s="100" t="e">
        <f t="shared" si="4"/>
        <v>#N/A</v>
      </c>
      <c r="H66" s="100" t="e">
        <f t="shared" si="5"/>
        <v>#N/A</v>
      </c>
      <c r="I66" s="75"/>
      <c r="J66" s="100" t="e">
        <f>VLOOKUP(E66,工资表明细!C:BF,56,0)</f>
        <v>#N/A</v>
      </c>
      <c r="K66" s="75"/>
      <c r="L66" s="75" t="e">
        <f>VLOOKUP(E66,工资表明细!C:J,6,0)</f>
        <v>#N/A</v>
      </c>
      <c r="M66" s="100" t="e">
        <f>VLOOKUP(E66,工资表明细!C:J,7,0)</f>
        <v>#N/A</v>
      </c>
      <c r="N66" s="100" t="e">
        <f>VLOOKUP(E66,工资表明细!C:J,8,0)</f>
        <v>#N/A</v>
      </c>
      <c r="O66" s="100"/>
      <c r="P66" s="100" t="e">
        <f t="shared" si="6"/>
        <v>#N/A</v>
      </c>
      <c r="Q66" s="100" t="e">
        <f t="shared" si="7"/>
        <v>#N/A</v>
      </c>
    </row>
    <row r="67" spans="1:17">
      <c r="A67" s="75" t="s">
        <v>11</v>
      </c>
      <c r="B67" s="75"/>
      <c r="C67" s="75"/>
      <c r="D67" s="75"/>
      <c r="E67" s="75" t="s">
        <v>405</v>
      </c>
      <c r="F67" s="100" t="e">
        <f>VLOOKUP(E67,工资表明细!C:AF,30,0)</f>
        <v>#N/A</v>
      </c>
      <c r="G67" s="100" t="e">
        <f t="shared" si="4"/>
        <v>#N/A</v>
      </c>
      <c r="H67" s="100" t="e">
        <f t="shared" si="5"/>
        <v>#N/A</v>
      </c>
      <c r="I67" s="75"/>
      <c r="J67" s="100" t="e">
        <f>VLOOKUP(E67,工资表明细!C:BF,56,0)</f>
        <v>#N/A</v>
      </c>
      <c r="K67" s="75"/>
      <c r="L67" s="75" t="e">
        <f>VLOOKUP(E67,工资表明细!C:J,6,0)</f>
        <v>#N/A</v>
      </c>
      <c r="M67" s="100" t="e">
        <f>VLOOKUP(E67,工资表明细!C:J,7,0)</f>
        <v>#N/A</v>
      </c>
      <c r="N67" s="100" t="e">
        <f>VLOOKUP(E67,工资表明细!C:J,8,0)</f>
        <v>#N/A</v>
      </c>
      <c r="O67" s="100"/>
      <c r="P67" s="100" t="e">
        <f t="shared" si="6"/>
        <v>#N/A</v>
      </c>
      <c r="Q67" s="100" t="e">
        <f t="shared" si="7"/>
        <v>#N/A</v>
      </c>
    </row>
    <row r="68" spans="1:17">
      <c r="A68" s="75" t="s">
        <v>11</v>
      </c>
      <c r="B68" s="75"/>
      <c r="C68" s="75"/>
      <c r="D68" s="75"/>
      <c r="E68" s="75" t="s">
        <v>407</v>
      </c>
      <c r="F68" s="100" t="e">
        <f>VLOOKUP(E68,工资表明细!C:AF,30,0)</f>
        <v>#N/A</v>
      </c>
      <c r="G68" s="100" t="e">
        <f t="shared" si="4"/>
        <v>#N/A</v>
      </c>
      <c r="H68" s="100" t="e">
        <f t="shared" si="5"/>
        <v>#N/A</v>
      </c>
      <c r="I68" s="75"/>
      <c r="J68" s="100" t="e">
        <f>VLOOKUP(E68,工资表明细!C:BF,56,0)</f>
        <v>#N/A</v>
      </c>
      <c r="K68" s="75"/>
      <c r="L68" s="75" t="e">
        <f>VLOOKUP(E68,工资表明细!C:J,6,0)</f>
        <v>#N/A</v>
      </c>
      <c r="M68" s="100" t="e">
        <f>VLOOKUP(E68,工资表明细!C:J,7,0)</f>
        <v>#N/A</v>
      </c>
      <c r="N68" s="100" t="e">
        <f>VLOOKUP(E68,工资表明细!C:J,8,0)</f>
        <v>#N/A</v>
      </c>
      <c r="O68" s="100"/>
      <c r="P68" s="100" t="e">
        <f t="shared" si="6"/>
        <v>#N/A</v>
      </c>
      <c r="Q68" s="100" t="e">
        <f t="shared" si="7"/>
        <v>#N/A</v>
      </c>
    </row>
    <row r="69" spans="1:17">
      <c r="A69" s="75" t="s">
        <v>15</v>
      </c>
      <c r="B69" s="75"/>
      <c r="C69" s="75"/>
      <c r="D69" s="75"/>
      <c r="E69" s="75" t="s">
        <v>409</v>
      </c>
      <c r="F69" s="100" t="e">
        <f>VLOOKUP(E69,工资表明细!C:AF,30,0)</f>
        <v>#N/A</v>
      </c>
      <c r="G69" s="100" t="e">
        <f t="shared" si="4"/>
        <v>#N/A</v>
      </c>
      <c r="H69" s="100" t="e">
        <f t="shared" si="5"/>
        <v>#N/A</v>
      </c>
      <c r="I69" s="75"/>
      <c r="J69" s="100" t="e">
        <f>VLOOKUP(E69,工资表明细!C:BF,56,0)</f>
        <v>#N/A</v>
      </c>
      <c r="K69" s="75"/>
      <c r="L69" s="75" t="e">
        <f>VLOOKUP(E69,工资表明细!C:J,6,0)</f>
        <v>#N/A</v>
      </c>
      <c r="M69" s="100" t="e">
        <f>VLOOKUP(E69,工资表明细!C:J,7,0)</f>
        <v>#N/A</v>
      </c>
      <c r="N69" s="100" t="e">
        <f>VLOOKUP(E69,工资表明细!C:J,8,0)</f>
        <v>#N/A</v>
      </c>
      <c r="O69" s="100"/>
      <c r="P69" s="100" t="e">
        <f t="shared" si="6"/>
        <v>#N/A</v>
      </c>
      <c r="Q69" s="100" t="e">
        <f t="shared" si="7"/>
        <v>#N/A</v>
      </c>
    </row>
    <row r="70" spans="1:17">
      <c r="A70" s="75" t="s">
        <v>11</v>
      </c>
      <c r="B70" s="75"/>
      <c r="C70" s="75"/>
      <c r="D70" s="75"/>
      <c r="E70" s="75" t="s">
        <v>411</v>
      </c>
      <c r="F70" s="100" t="e">
        <f>VLOOKUP(E70,工资表明细!C:AF,30,0)</f>
        <v>#N/A</v>
      </c>
      <c r="G70" s="100" t="e">
        <f t="shared" si="4"/>
        <v>#N/A</v>
      </c>
      <c r="H70" s="100" t="e">
        <f t="shared" si="5"/>
        <v>#N/A</v>
      </c>
      <c r="I70" s="75"/>
      <c r="J70" s="100" t="e">
        <f>VLOOKUP(E70,工资表明细!C:BF,56,0)</f>
        <v>#N/A</v>
      </c>
      <c r="K70" s="75"/>
      <c r="L70" s="75" t="e">
        <f>VLOOKUP(E70,工资表明细!C:J,6,0)</f>
        <v>#N/A</v>
      </c>
      <c r="M70" s="100" t="e">
        <f>VLOOKUP(E70,工资表明细!C:J,7,0)</f>
        <v>#N/A</v>
      </c>
      <c r="N70" s="100" t="e">
        <f>VLOOKUP(E70,工资表明细!C:J,8,0)</f>
        <v>#N/A</v>
      </c>
      <c r="O70" s="100"/>
      <c r="P70" s="100" t="e">
        <f t="shared" si="6"/>
        <v>#N/A</v>
      </c>
      <c r="Q70" s="100" t="e">
        <f t="shared" si="7"/>
        <v>#N/A</v>
      </c>
    </row>
    <row r="71" spans="1:17">
      <c r="A71" s="75" t="s">
        <v>11</v>
      </c>
      <c r="B71" s="75"/>
      <c r="C71" s="75"/>
      <c r="D71" s="75"/>
      <c r="E71" s="75" t="s">
        <v>373</v>
      </c>
      <c r="F71" s="100" t="e">
        <f>VLOOKUP(E71,工资表明细!C:AF,30,0)</f>
        <v>#N/A</v>
      </c>
      <c r="G71" s="100" t="e">
        <f t="shared" si="4"/>
        <v>#N/A</v>
      </c>
      <c r="H71" s="100" t="e">
        <f t="shared" si="5"/>
        <v>#N/A</v>
      </c>
      <c r="I71" s="75"/>
      <c r="J71" s="100" t="e">
        <f>VLOOKUP(E71,工资表明细!C:BF,56,0)</f>
        <v>#N/A</v>
      </c>
      <c r="K71" s="75"/>
      <c r="L71" s="75" t="e">
        <f>VLOOKUP(E71,工资表明细!C:J,6,0)</f>
        <v>#N/A</v>
      </c>
      <c r="M71" s="100" t="e">
        <f>VLOOKUP(E71,工资表明细!C:J,7,0)</f>
        <v>#N/A</v>
      </c>
      <c r="N71" s="100" t="e">
        <f>VLOOKUP(E71,工资表明细!C:J,8,0)</f>
        <v>#N/A</v>
      </c>
      <c r="O71" s="100"/>
      <c r="P71" s="100" t="e">
        <f t="shared" si="6"/>
        <v>#N/A</v>
      </c>
      <c r="Q71" s="100" t="e">
        <f t="shared" si="7"/>
        <v>#N/A</v>
      </c>
    </row>
    <row r="72" spans="1:17">
      <c r="A72" s="75" t="s">
        <v>11</v>
      </c>
      <c r="B72" s="75"/>
      <c r="C72" s="75"/>
      <c r="D72" s="75"/>
      <c r="E72" s="75" t="s">
        <v>413</v>
      </c>
      <c r="F72" s="100" t="e">
        <f>VLOOKUP(E72,工资表明细!C:AF,30,0)</f>
        <v>#N/A</v>
      </c>
      <c r="G72" s="100" t="e">
        <f t="shared" si="4"/>
        <v>#N/A</v>
      </c>
      <c r="H72" s="100" t="e">
        <f t="shared" si="5"/>
        <v>#N/A</v>
      </c>
      <c r="I72" s="75"/>
      <c r="J72" s="100" t="e">
        <f>VLOOKUP(E72,工资表明细!C:BF,56,0)</f>
        <v>#N/A</v>
      </c>
      <c r="K72" s="75"/>
      <c r="L72" s="75" t="e">
        <f>VLOOKUP(E72,工资表明细!C:J,6,0)</f>
        <v>#N/A</v>
      </c>
      <c r="M72" s="100" t="e">
        <f>VLOOKUP(E72,工资表明细!C:J,7,0)</f>
        <v>#N/A</v>
      </c>
      <c r="N72" s="100" t="e">
        <f>VLOOKUP(E72,工资表明细!C:J,8,0)</f>
        <v>#N/A</v>
      </c>
      <c r="O72" s="100"/>
      <c r="P72" s="100" t="e">
        <f t="shared" si="6"/>
        <v>#N/A</v>
      </c>
      <c r="Q72" s="100" t="e">
        <f t="shared" si="7"/>
        <v>#N/A</v>
      </c>
    </row>
    <row r="73" spans="1:17">
      <c r="A73" s="75" t="s">
        <v>11</v>
      </c>
      <c r="B73" s="75"/>
      <c r="C73" s="75"/>
      <c r="D73" s="75"/>
      <c r="E73" s="75" t="s">
        <v>415</v>
      </c>
      <c r="F73" s="100" t="e">
        <f>VLOOKUP(E73,工资表明细!C:AF,30,0)</f>
        <v>#N/A</v>
      </c>
      <c r="G73" s="100" t="e">
        <f t="shared" si="4"/>
        <v>#N/A</v>
      </c>
      <c r="H73" s="100" t="e">
        <f t="shared" si="5"/>
        <v>#N/A</v>
      </c>
      <c r="I73" s="75"/>
      <c r="J73" s="100" t="e">
        <f>VLOOKUP(E73,工资表明细!C:BF,56,0)</f>
        <v>#N/A</v>
      </c>
      <c r="K73" s="75"/>
      <c r="L73" s="75" t="e">
        <f>VLOOKUP(E73,工资表明细!C:J,6,0)</f>
        <v>#N/A</v>
      </c>
      <c r="M73" s="100" t="e">
        <f>VLOOKUP(E73,工资表明细!C:J,7,0)</f>
        <v>#N/A</v>
      </c>
      <c r="N73" s="100" t="e">
        <f>VLOOKUP(E73,工资表明细!C:J,8,0)</f>
        <v>#N/A</v>
      </c>
      <c r="O73" s="100"/>
      <c r="P73" s="100" t="e">
        <f t="shared" si="6"/>
        <v>#N/A</v>
      </c>
      <c r="Q73" s="100" t="e">
        <f t="shared" si="7"/>
        <v>#N/A</v>
      </c>
    </row>
    <row r="74" spans="1:17">
      <c r="A74" s="75" t="s">
        <v>15</v>
      </c>
      <c r="B74" s="75"/>
      <c r="C74" s="75"/>
      <c r="D74" s="75"/>
      <c r="E74" s="75" t="s">
        <v>418</v>
      </c>
      <c r="F74" s="100" t="e">
        <f>VLOOKUP(E74,工资表明细!C:AF,30,0)</f>
        <v>#N/A</v>
      </c>
      <c r="G74" s="100" t="e">
        <f t="shared" si="4"/>
        <v>#N/A</v>
      </c>
      <c r="H74" s="100" t="e">
        <f t="shared" si="5"/>
        <v>#N/A</v>
      </c>
      <c r="I74" s="75"/>
      <c r="J74" s="100" t="e">
        <f>VLOOKUP(E74,工资表明细!C:BF,56,0)</f>
        <v>#N/A</v>
      </c>
      <c r="K74" s="75"/>
      <c r="L74" s="75" t="e">
        <f>VLOOKUP(E74,工资表明细!C:J,6,0)</f>
        <v>#N/A</v>
      </c>
      <c r="M74" s="100" t="e">
        <f>VLOOKUP(E74,工资表明细!C:J,7,0)</f>
        <v>#N/A</v>
      </c>
      <c r="N74" s="100" t="e">
        <f>VLOOKUP(E74,工资表明细!C:J,8,0)</f>
        <v>#N/A</v>
      </c>
      <c r="O74" s="100"/>
      <c r="P74" s="100" t="e">
        <f t="shared" si="6"/>
        <v>#N/A</v>
      </c>
      <c r="Q74" s="100" t="e">
        <f t="shared" si="7"/>
        <v>#N/A</v>
      </c>
    </row>
    <row r="75" spans="1:17">
      <c r="A75" s="75" t="s">
        <v>15</v>
      </c>
      <c r="B75" s="75"/>
      <c r="C75" s="75"/>
      <c r="D75" s="75"/>
      <c r="E75" s="75" t="s">
        <v>420</v>
      </c>
      <c r="F75" s="100" t="e">
        <f>VLOOKUP(E75,工资表明细!C:AF,30,0)</f>
        <v>#N/A</v>
      </c>
      <c r="G75" s="100" t="e">
        <f t="shared" si="4"/>
        <v>#N/A</v>
      </c>
      <c r="H75" s="100" t="e">
        <f t="shared" si="5"/>
        <v>#N/A</v>
      </c>
      <c r="I75" s="75"/>
      <c r="J75" s="100" t="e">
        <f>VLOOKUP(E75,工资表明细!C:BF,56,0)</f>
        <v>#N/A</v>
      </c>
      <c r="K75" s="75"/>
      <c r="L75" s="75" t="e">
        <f>VLOOKUP(E75,工资表明细!C:J,6,0)</f>
        <v>#N/A</v>
      </c>
      <c r="M75" s="100" t="e">
        <f>VLOOKUP(E75,工资表明细!C:J,7,0)</f>
        <v>#N/A</v>
      </c>
      <c r="N75" s="100" t="e">
        <f>VLOOKUP(E75,工资表明细!C:J,8,0)</f>
        <v>#N/A</v>
      </c>
      <c r="O75" s="100"/>
      <c r="P75" s="100" t="e">
        <f t="shared" si="6"/>
        <v>#N/A</v>
      </c>
      <c r="Q75" s="100" t="e">
        <f t="shared" si="7"/>
        <v>#N/A</v>
      </c>
    </row>
  </sheetData>
  <autoFilter xmlns:etc="http://www.wps.cn/officeDocument/2017/etCustomData" ref="A1:Q75" etc:filterBottomFollowUsedRange="0">
    <extLst/>
  </autoFilter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83"/>
  <sheetViews>
    <sheetView workbookViewId="0">
      <selection activeCell="A4" sqref="$A4:$XFD4"/>
    </sheetView>
  </sheetViews>
  <sheetFormatPr defaultColWidth="9" defaultRowHeight="13.5"/>
  <cols>
    <col min="8" max="8" width="15.6283185840708" customWidth="1"/>
    <col min="9" max="11" width="13.3716814159292"/>
    <col min="12" max="13" width="14.5044247787611"/>
    <col min="14" max="23" width="13.3716814159292"/>
    <col min="25" max="25" width="13.3716814159292"/>
    <col min="29" max="30" width="13.3716814159292"/>
    <col min="31" max="32" width="14.5044247787611"/>
    <col min="33" max="40" width="13.3716814159292"/>
    <col min="42" max="42" width="13.3716814159292"/>
    <col min="43" max="43" width="14.5044247787611"/>
    <col min="44" max="44" width="13.3716814159292"/>
    <col min="45" max="45" width="15.6283185840708"/>
    <col min="46" max="48" width="13.3716814159292"/>
    <col min="49" max="49" width="14.5044247787611"/>
    <col min="50" max="50" width="15.6283185840708"/>
  </cols>
  <sheetData>
    <row r="1" s="82" customFormat="1" spans="1:51">
      <c r="A1" s="83" t="s">
        <v>26</v>
      </c>
      <c r="B1" s="83" t="s">
        <v>46</v>
      </c>
      <c r="C1" s="83" t="s">
        <v>211</v>
      </c>
      <c r="D1" s="83" t="s">
        <v>212</v>
      </c>
      <c r="E1" s="83" t="s">
        <v>435</v>
      </c>
      <c r="F1" s="83" t="s">
        <v>213</v>
      </c>
      <c r="G1" s="83" t="s">
        <v>214</v>
      </c>
      <c r="H1" s="83" t="s">
        <v>215</v>
      </c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 t="s">
        <v>216</v>
      </c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 t="s">
        <v>217</v>
      </c>
      <c r="AP1" s="83" t="s">
        <v>218</v>
      </c>
      <c r="AQ1" s="83" t="s">
        <v>219</v>
      </c>
      <c r="AR1" s="83"/>
      <c r="AS1" s="83"/>
      <c r="AT1" s="83"/>
      <c r="AU1" s="83"/>
      <c r="AV1" s="83"/>
      <c r="AW1" s="83"/>
      <c r="AX1" s="83"/>
      <c r="AY1" s="83" t="s">
        <v>40</v>
      </c>
    </row>
    <row r="2" s="82" customFormat="1" spans="1:51">
      <c r="A2" s="83"/>
      <c r="B2" s="83"/>
      <c r="C2" s="83"/>
      <c r="D2" s="83"/>
      <c r="E2" s="83"/>
      <c r="F2" s="83"/>
      <c r="G2" s="83"/>
      <c r="H2" s="83" t="s">
        <v>220</v>
      </c>
      <c r="I2" s="83"/>
      <c r="J2" s="83"/>
      <c r="K2" s="83" t="s">
        <v>221</v>
      </c>
      <c r="L2" s="83" t="s">
        <v>222</v>
      </c>
      <c r="M2" s="83"/>
      <c r="N2" s="83"/>
      <c r="O2" s="83"/>
      <c r="P2" s="83" t="s">
        <v>223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 t="s">
        <v>224</v>
      </c>
      <c r="AE2" s="83" t="s">
        <v>225</v>
      </c>
      <c r="AF2" s="83" t="s">
        <v>226</v>
      </c>
      <c r="AG2" s="83" t="s">
        <v>227</v>
      </c>
      <c r="AH2" s="83"/>
      <c r="AI2" s="83"/>
      <c r="AJ2" s="83"/>
      <c r="AK2" s="83"/>
      <c r="AL2" s="83"/>
      <c r="AM2" s="84" t="s">
        <v>228</v>
      </c>
      <c r="AN2" s="83" t="s">
        <v>229</v>
      </c>
      <c r="AO2" s="83"/>
      <c r="AP2" s="83"/>
      <c r="AQ2" s="83" t="s">
        <v>230</v>
      </c>
      <c r="AR2" s="83" t="s">
        <v>231</v>
      </c>
      <c r="AS2" s="83" t="s">
        <v>232</v>
      </c>
      <c r="AT2" s="83" t="s">
        <v>233</v>
      </c>
      <c r="AU2" s="83" t="s">
        <v>234</v>
      </c>
      <c r="AV2" s="84" t="s">
        <v>436</v>
      </c>
      <c r="AW2" s="83" t="s">
        <v>235</v>
      </c>
      <c r="AX2" s="83" t="s">
        <v>236</v>
      </c>
      <c r="AY2" s="83"/>
    </row>
    <row r="3" s="82" customFormat="1" ht="107.25" customHeight="1" spans="1:51">
      <c r="A3" s="83"/>
      <c r="B3" s="83"/>
      <c r="C3" s="83"/>
      <c r="D3" s="83"/>
      <c r="E3" s="83"/>
      <c r="F3" s="83"/>
      <c r="G3" s="83"/>
      <c r="H3" s="83" t="s">
        <v>237</v>
      </c>
      <c r="I3" s="83" t="s">
        <v>238</v>
      </c>
      <c r="J3" s="83" t="s">
        <v>239</v>
      </c>
      <c r="K3" s="83"/>
      <c r="L3" s="85" t="s">
        <v>240</v>
      </c>
      <c r="M3" s="83" t="s">
        <v>241</v>
      </c>
      <c r="N3" s="83" t="s">
        <v>242</v>
      </c>
      <c r="O3" s="83" t="s">
        <v>243</v>
      </c>
      <c r="P3" s="83" t="s">
        <v>244</v>
      </c>
      <c r="Q3" s="83" t="s">
        <v>245</v>
      </c>
      <c r="R3" s="83" t="s">
        <v>246</v>
      </c>
      <c r="S3" s="83" t="s">
        <v>247</v>
      </c>
      <c r="T3" s="83" t="s">
        <v>248</v>
      </c>
      <c r="U3" s="83" t="s">
        <v>249</v>
      </c>
      <c r="V3" s="83" t="s">
        <v>250</v>
      </c>
      <c r="W3" s="83" t="s">
        <v>251</v>
      </c>
      <c r="X3" s="83" t="s">
        <v>252</v>
      </c>
      <c r="Y3" s="83" t="s">
        <v>253</v>
      </c>
      <c r="Z3" s="83" t="s">
        <v>254</v>
      </c>
      <c r="AA3" s="83" t="s">
        <v>255</v>
      </c>
      <c r="AB3" s="83" t="s">
        <v>256</v>
      </c>
      <c r="AC3" s="83" t="s">
        <v>257</v>
      </c>
      <c r="AD3" s="83"/>
      <c r="AE3" s="83"/>
      <c r="AF3" s="83"/>
      <c r="AG3" s="83" t="s">
        <v>258</v>
      </c>
      <c r="AH3" s="83" t="s">
        <v>259</v>
      </c>
      <c r="AI3" s="83" t="s">
        <v>260</v>
      </c>
      <c r="AJ3" s="83" t="s">
        <v>261</v>
      </c>
      <c r="AK3" s="83" t="s">
        <v>262</v>
      </c>
      <c r="AL3" s="83" t="s">
        <v>263</v>
      </c>
      <c r="AM3" s="86"/>
      <c r="AN3" s="83"/>
      <c r="AO3" s="83"/>
      <c r="AP3" s="83"/>
      <c r="AQ3" s="83"/>
      <c r="AR3" s="83"/>
      <c r="AS3" s="83"/>
      <c r="AT3" s="83"/>
      <c r="AU3" s="83"/>
      <c r="AV3" s="86"/>
      <c r="AW3" s="83"/>
      <c r="AX3" s="83"/>
      <c r="AY3" s="83"/>
    </row>
    <row r="4" s="82" customFormat="1" customHeight="1" spans="1:51">
      <c r="A4" s="83">
        <v>1</v>
      </c>
      <c r="B4" s="83">
        <v>2</v>
      </c>
      <c r="C4" s="83">
        <v>3</v>
      </c>
      <c r="D4" s="83">
        <v>4</v>
      </c>
      <c r="E4" s="83">
        <v>5</v>
      </c>
      <c r="F4" s="83">
        <v>6</v>
      </c>
      <c r="G4" s="83">
        <v>7</v>
      </c>
      <c r="H4" s="83">
        <v>8</v>
      </c>
      <c r="I4" s="83">
        <v>9</v>
      </c>
      <c r="J4" s="83">
        <v>10</v>
      </c>
      <c r="K4" s="83">
        <v>11</v>
      </c>
      <c r="L4" s="83">
        <v>12</v>
      </c>
      <c r="M4" s="83">
        <v>13</v>
      </c>
      <c r="N4" s="83">
        <v>14</v>
      </c>
      <c r="O4" s="83">
        <v>15</v>
      </c>
      <c r="P4" s="83">
        <v>16</v>
      </c>
      <c r="Q4" s="83">
        <v>17</v>
      </c>
      <c r="R4" s="83">
        <v>18</v>
      </c>
      <c r="S4" s="83">
        <v>19</v>
      </c>
      <c r="T4" s="83">
        <v>20</v>
      </c>
      <c r="U4" s="83">
        <v>21</v>
      </c>
      <c r="V4" s="83">
        <v>22</v>
      </c>
      <c r="W4" s="83">
        <v>23</v>
      </c>
      <c r="X4" s="83">
        <v>24</v>
      </c>
      <c r="Y4" s="83">
        <v>25</v>
      </c>
      <c r="Z4" s="83">
        <v>26</v>
      </c>
      <c r="AA4" s="83">
        <v>27</v>
      </c>
      <c r="AB4" s="83">
        <v>28</v>
      </c>
      <c r="AC4" s="83">
        <v>29</v>
      </c>
      <c r="AD4" s="83">
        <v>30</v>
      </c>
      <c r="AE4" s="83">
        <v>31</v>
      </c>
      <c r="AF4" s="83">
        <v>32</v>
      </c>
      <c r="AG4" s="83">
        <v>33</v>
      </c>
      <c r="AH4" s="83">
        <v>34</v>
      </c>
      <c r="AI4" s="83">
        <v>35</v>
      </c>
      <c r="AJ4" s="83">
        <v>36</v>
      </c>
      <c r="AK4" s="83">
        <v>37</v>
      </c>
      <c r="AL4" s="83">
        <v>38</v>
      </c>
      <c r="AM4" s="83">
        <v>39</v>
      </c>
      <c r="AN4" s="83">
        <v>40</v>
      </c>
      <c r="AO4" s="83">
        <v>41</v>
      </c>
      <c r="AP4" s="83">
        <v>42</v>
      </c>
      <c r="AQ4" s="83">
        <v>43</v>
      </c>
      <c r="AR4" s="83">
        <v>44</v>
      </c>
      <c r="AS4" s="83">
        <v>45</v>
      </c>
      <c r="AT4" s="83">
        <v>46</v>
      </c>
      <c r="AU4" s="83">
        <v>47</v>
      </c>
      <c r="AV4" s="83">
        <v>48</v>
      </c>
      <c r="AW4" s="83">
        <v>49</v>
      </c>
      <c r="AX4" s="83">
        <v>50</v>
      </c>
      <c r="AY4" s="83">
        <v>51</v>
      </c>
    </row>
    <row r="5" s="82" customFormat="1" customHeight="1" spans="1:51">
      <c r="A5" s="87" t="s">
        <v>437</v>
      </c>
      <c r="B5" s="87" t="s">
        <v>327</v>
      </c>
      <c r="C5" s="87" t="s">
        <v>268</v>
      </c>
      <c r="D5" s="87" t="s">
        <v>328</v>
      </c>
      <c r="E5" s="87" t="s">
        <v>328</v>
      </c>
      <c r="F5" s="87" t="s">
        <v>270</v>
      </c>
      <c r="G5" s="88" t="s">
        <v>271</v>
      </c>
      <c r="H5" s="89">
        <v>6300</v>
      </c>
      <c r="I5" s="89">
        <v>0</v>
      </c>
      <c r="J5" s="89">
        <v>0</v>
      </c>
      <c r="K5" s="89">
        <v>5000</v>
      </c>
      <c r="L5" s="89">
        <v>572.96</v>
      </c>
      <c r="M5" s="89">
        <v>146.24</v>
      </c>
      <c r="N5" s="89">
        <v>35.81</v>
      </c>
      <c r="O5" s="89">
        <v>315</v>
      </c>
      <c r="P5" s="89">
        <v>0</v>
      </c>
      <c r="Q5" s="89">
        <v>0</v>
      </c>
      <c r="R5" s="89">
        <v>0</v>
      </c>
      <c r="S5" s="89">
        <v>0</v>
      </c>
      <c r="T5" s="89">
        <v>0</v>
      </c>
      <c r="U5" s="89">
        <v>0</v>
      </c>
      <c r="V5" s="89">
        <v>0</v>
      </c>
      <c r="W5" s="89">
        <v>0</v>
      </c>
      <c r="X5" s="87" t="s">
        <v>272</v>
      </c>
      <c r="Y5" s="89">
        <v>0</v>
      </c>
      <c r="Z5" s="87" t="s">
        <v>272</v>
      </c>
      <c r="AA5" s="87" t="s">
        <v>272</v>
      </c>
      <c r="AB5" s="87" t="s">
        <v>272</v>
      </c>
      <c r="AC5" s="89">
        <v>0</v>
      </c>
      <c r="AD5" s="89">
        <v>44469.82</v>
      </c>
      <c r="AE5" s="89">
        <v>35000</v>
      </c>
      <c r="AF5" s="89">
        <v>7490.07</v>
      </c>
      <c r="AG5" s="89">
        <v>0</v>
      </c>
      <c r="AH5" s="89">
        <v>0</v>
      </c>
      <c r="AI5" s="89">
        <v>0</v>
      </c>
      <c r="AJ5" s="89">
        <v>0</v>
      </c>
      <c r="AK5" s="89">
        <v>0</v>
      </c>
      <c r="AL5" s="89">
        <v>0</v>
      </c>
      <c r="AM5" s="89">
        <v>0</v>
      </c>
      <c r="AN5" s="89">
        <v>0</v>
      </c>
      <c r="AO5" s="87" t="s">
        <v>273</v>
      </c>
      <c r="AP5" s="89">
        <v>0</v>
      </c>
      <c r="AQ5" s="89">
        <v>1979.75</v>
      </c>
      <c r="AR5" s="89">
        <v>0.03</v>
      </c>
      <c r="AS5" s="89">
        <v>0</v>
      </c>
      <c r="AT5" s="89">
        <v>59.39</v>
      </c>
      <c r="AU5" s="89">
        <v>0</v>
      </c>
      <c r="AV5" s="89">
        <v>0</v>
      </c>
      <c r="AW5" s="89">
        <v>52.49</v>
      </c>
      <c r="AX5" s="89">
        <v>6.9</v>
      </c>
      <c r="AY5" s="87" t="s">
        <v>274</v>
      </c>
    </row>
    <row r="6" s="82" customFormat="1" customHeight="1" spans="1:51">
      <c r="A6" s="87" t="s">
        <v>438</v>
      </c>
      <c r="B6" s="87" t="s">
        <v>325</v>
      </c>
      <c r="C6" s="87" t="s">
        <v>268</v>
      </c>
      <c r="D6" s="87" t="s">
        <v>326</v>
      </c>
      <c r="E6" s="87" t="s">
        <v>326</v>
      </c>
      <c r="F6" s="87" t="s">
        <v>270</v>
      </c>
      <c r="G6" s="88" t="s">
        <v>271</v>
      </c>
      <c r="H6" s="89">
        <v>15200</v>
      </c>
      <c r="I6" s="89">
        <v>0</v>
      </c>
      <c r="J6" s="89">
        <v>0</v>
      </c>
      <c r="K6" s="89">
        <v>5000</v>
      </c>
      <c r="L6" s="89">
        <v>572.96</v>
      </c>
      <c r="M6" s="89">
        <v>146.24</v>
      </c>
      <c r="N6" s="89">
        <v>35.81</v>
      </c>
      <c r="O6" s="89">
        <v>760</v>
      </c>
      <c r="P6" s="89">
        <v>0</v>
      </c>
      <c r="Q6" s="89">
        <v>0</v>
      </c>
      <c r="R6" s="89">
        <v>0</v>
      </c>
      <c r="S6" s="89">
        <v>0</v>
      </c>
      <c r="T6" s="89">
        <v>0</v>
      </c>
      <c r="U6" s="89">
        <v>0</v>
      </c>
      <c r="V6" s="89">
        <v>0</v>
      </c>
      <c r="W6" s="89">
        <v>0</v>
      </c>
      <c r="X6" s="87" t="s">
        <v>272</v>
      </c>
      <c r="Y6" s="89">
        <v>0</v>
      </c>
      <c r="Z6" s="87" t="s">
        <v>272</v>
      </c>
      <c r="AA6" s="87" t="s">
        <v>272</v>
      </c>
      <c r="AB6" s="87" t="s">
        <v>272</v>
      </c>
      <c r="AC6" s="89">
        <v>0</v>
      </c>
      <c r="AD6" s="89">
        <v>106163.86</v>
      </c>
      <c r="AE6" s="89">
        <v>35000</v>
      </c>
      <c r="AF6" s="89">
        <v>10605.07</v>
      </c>
      <c r="AG6" s="89">
        <v>0</v>
      </c>
      <c r="AH6" s="89">
        <v>0</v>
      </c>
      <c r="AI6" s="89">
        <v>0</v>
      </c>
      <c r="AJ6" s="89">
        <v>0</v>
      </c>
      <c r="AK6" s="89">
        <v>0</v>
      </c>
      <c r="AL6" s="89">
        <v>0</v>
      </c>
      <c r="AM6" s="89">
        <v>0</v>
      </c>
      <c r="AN6" s="89">
        <v>0</v>
      </c>
      <c r="AO6" s="87" t="s">
        <v>273</v>
      </c>
      <c r="AP6" s="89">
        <v>0</v>
      </c>
      <c r="AQ6" s="89">
        <v>60558.79</v>
      </c>
      <c r="AR6" s="89">
        <v>0.1</v>
      </c>
      <c r="AS6" s="89">
        <v>2520</v>
      </c>
      <c r="AT6" s="89">
        <v>3535.88</v>
      </c>
      <c r="AU6" s="89">
        <v>0</v>
      </c>
      <c r="AV6" s="89">
        <v>0</v>
      </c>
      <c r="AW6" s="89">
        <v>2667.38</v>
      </c>
      <c r="AX6" s="89">
        <v>868.5</v>
      </c>
      <c r="AY6" s="87" t="s">
        <v>274</v>
      </c>
    </row>
    <row r="7" s="82" customFormat="1" customHeight="1" spans="1:51">
      <c r="A7" s="87" t="s">
        <v>439</v>
      </c>
      <c r="B7" s="87" t="s">
        <v>295</v>
      </c>
      <c r="C7" s="87" t="s">
        <v>268</v>
      </c>
      <c r="D7" s="87" t="s">
        <v>296</v>
      </c>
      <c r="E7" s="87" t="s">
        <v>296</v>
      </c>
      <c r="F7" s="87" t="s">
        <v>270</v>
      </c>
      <c r="G7" s="88" t="s">
        <v>271</v>
      </c>
      <c r="H7" s="89">
        <v>14374.29</v>
      </c>
      <c r="I7" s="89">
        <v>0</v>
      </c>
      <c r="J7" s="89">
        <v>0</v>
      </c>
      <c r="K7" s="89">
        <v>5000</v>
      </c>
      <c r="L7" s="89">
        <v>572.96</v>
      </c>
      <c r="M7" s="89">
        <v>146.24</v>
      </c>
      <c r="N7" s="89">
        <v>35.81</v>
      </c>
      <c r="O7" s="89">
        <v>900</v>
      </c>
      <c r="P7" s="89">
        <v>0</v>
      </c>
      <c r="Q7" s="89">
        <v>0</v>
      </c>
      <c r="R7" s="89">
        <v>0</v>
      </c>
      <c r="S7" s="89">
        <v>0</v>
      </c>
      <c r="T7" s="89">
        <v>0</v>
      </c>
      <c r="U7" s="89">
        <v>0</v>
      </c>
      <c r="V7" s="89">
        <v>0</v>
      </c>
      <c r="W7" s="89">
        <v>0</v>
      </c>
      <c r="X7" s="87" t="s">
        <v>272</v>
      </c>
      <c r="Y7" s="89">
        <v>0</v>
      </c>
      <c r="Z7" s="87" t="s">
        <v>272</v>
      </c>
      <c r="AA7" s="87" t="s">
        <v>272</v>
      </c>
      <c r="AB7" s="87" t="s">
        <v>272</v>
      </c>
      <c r="AC7" s="89">
        <v>0</v>
      </c>
      <c r="AD7" s="89">
        <v>100605.4</v>
      </c>
      <c r="AE7" s="89">
        <v>35000</v>
      </c>
      <c r="AF7" s="89">
        <v>11585.07</v>
      </c>
      <c r="AG7" s="89">
        <v>0</v>
      </c>
      <c r="AH7" s="89">
        <v>0</v>
      </c>
      <c r="AI7" s="89">
        <v>0</v>
      </c>
      <c r="AJ7" s="89">
        <v>10500</v>
      </c>
      <c r="AK7" s="89">
        <v>0</v>
      </c>
      <c r="AL7" s="89">
        <v>0</v>
      </c>
      <c r="AM7" s="89">
        <v>0</v>
      </c>
      <c r="AN7" s="89">
        <v>0</v>
      </c>
      <c r="AO7" s="87" t="s">
        <v>273</v>
      </c>
      <c r="AP7" s="89">
        <v>0</v>
      </c>
      <c r="AQ7" s="89">
        <v>43520.33</v>
      </c>
      <c r="AR7" s="89">
        <v>0.1</v>
      </c>
      <c r="AS7" s="89">
        <v>2520</v>
      </c>
      <c r="AT7" s="89">
        <v>1832.03</v>
      </c>
      <c r="AU7" s="89">
        <v>0</v>
      </c>
      <c r="AV7" s="89">
        <v>0</v>
      </c>
      <c r="AW7" s="89">
        <v>2110.11</v>
      </c>
      <c r="AX7" s="89">
        <v>0</v>
      </c>
      <c r="AY7" s="87" t="s">
        <v>274</v>
      </c>
    </row>
    <row r="8" s="82" customFormat="1" customHeight="1" spans="1:51">
      <c r="A8" s="87" t="s">
        <v>440</v>
      </c>
      <c r="B8" s="87" t="s">
        <v>371</v>
      </c>
      <c r="C8" s="87" t="s">
        <v>268</v>
      </c>
      <c r="D8" s="87" t="s">
        <v>372</v>
      </c>
      <c r="E8" s="87" t="s">
        <v>372</v>
      </c>
      <c r="F8" s="87" t="s">
        <v>270</v>
      </c>
      <c r="G8" s="88" t="s">
        <v>271</v>
      </c>
      <c r="H8" s="89">
        <v>8495.45</v>
      </c>
      <c r="I8" s="89">
        <v>0</v>
      </c>
      <c r="J8" s="89">
        <v>0</v>
      </c>
      <c r="K8" s="89">
        <v>5000</v>
      </c>
      <c r="L8" s="89">
        <v>572.96</v>
      </c>
      <c r="M8" s="89">
        <v>146.24</v>
      </c>
      <c r="N8" s="89">
        <v>35.81</v>
      </c>
      <c r="O8" s="89">
        <v>127</v>
      </c>
      <c r="P8" s="89">
        <v>0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7" t="s">
        <v>272</v>
      </c>
      <c r="Y8" s="89">
        <v>0</v>
      </c>
      <c r="Z8" s="87" t="s">
        <v>272</v>
      </c>
      <c r="AA8" s="87" t="s">
        <v>272</v>
      </c>
      <c r="AB8" s="87" t="s">
        <v>272</v>
      </c>
      <c r="AC8" s="89">
        <v>0</v>
      </c>
      <c r="AD8" s="89">
        <v>33897.03</v>
      </c>
      <c r="AE8" s="89">
        <v>25000</v>
      </c>
      <c r="AF8" s="89">
        <v>4410.05</v>
      </c>
      <c r="AG8" s="89">
        <v>0</v>
      </c>
      <c r="AH8" s="89">
        <v>0</v>
      </c>
      <c r="AI8" s="89">
        <v>0</v>
      </c>
      <c r="AJ8" s="89">
        <v>0</v>
      </c>
      <c r="AK8" s="89">
        <v>0</v>
      </c>
      <c r="AL8" s="89">
        <v>0</v>
      </c>
      <c r="AM8" s="89">
        <v>0</v>
      </c>
      <c r="AN8" s="89">
        <v>0</v>
      </c>
      <c r="AO8" s="87" t="s">
        <v>273</v>
      </c>
      <c r="AP8" s="89">
        <v>0</v>
      </c>
      <c r="AQ8" s="89">
        <v>4486.98</v>
      </c>
      <c r="AR8" s="89">
        <v>0.03</v>
      </c>
      <c r="AS8" s="89">
        <v>0</v>
      </c>
      <c r="AT8" s="89">
        <v>134.61</v>
      </c>
      <c r="AU8" s="89">
        <v>0</v>
      </c>
      <c r="AV8" s="89">
        <v>0</v>
      </c>
      <c r="AW8" s="89">
        <v>56.21</v>
      </c>
      <c r="AX8" s="89">
        <v>78.4</v>
      </c>
      <c r="AY8" s="87" t="s">
        <v>274</v>
      </c>
    </row>
    <row r="9" s="82" customFormat="1" customHeight="1" spans="1:51">
      <c r="A9" s="87" t="s">
        <v>441</v>
      </c>
      <c r="B9" s="87" t="s">
        <v>275</v>
      </c>
      <c r="C9" s="87" t="s">
        <v>268</v>
      </c>
      <c r="D9" s="87" t="s">
        <v>276</v>
      </c>
      <c r="E9" s="87" t="s">
        <v>276</v>
      </c>
      <c r="F9" s="87" t="s">
        <v>270</v>
      </c>
      <c r="G9" s="88" t="s">
        <v>271</v>
      </c>
      <c r="H9" s="89">
        <v>15882.12</v>
      </c>
      <c r="I9" s="89">
        <v>0</v>
      </c>
      <c r="J9" s="89">
        <v>0</v>
      </c>
      <c r="K9" s="89">
        <v>5000</v>
      </c>
      <c r="L9" s="89">
        <v>572.96</v>
      </c>
      <c r="M9" s="89">
        <v>146.24</v>
      </c>
      <c r="N9" s="89">
        <v>35.81</v>
      </c>
      <c r="O9" s="89">
        <v>1079</v>
      </c>
      <c r="P9" s="89">
        <v>0</v>
      </c>
      <c r="Q9" s="89">
        <v>0</v>
      </c>
      <c r="R9" s="89">
        <v>0</v>
      </c>
      <c r="S9" s="89">
        <v>0</v>
      </c>
      <c r="T9" s="89">
        <v>0</v>
      </c>
      <c r="U9" s="89">
        <v>0</v>
      </c>
      <c r="V9" s="89">
        <v>0</v>
      </c>
      <c r="W9" s="89">
        <v>0</v>
      </c>
      <c r="X9" s="87" t="s">
        <v>272</v>
      </c>
      <c r="Y9" s="89">
        <v>0</v>
      </c>
      <c r="Z9" s="87" t="s">
        <v>272</v>
      </c>
      <c r="AA9" s="87" t="s">
        <v>272</v>
      </c>
      <c r="AB9" s="87" t="s">
        <v>272</v>
      </c>
      <c r="AC9" s="89">
        <v>0</v>
      </c>
      <c r="AD9" s="89">
        <v>109505.3</v>
      </c>
      <c r="AE9" s="89">
        <v>35000</v>
      </c>
      <c r="AF9" s="89">
        <v>12838.07</v>
      </c>
      <c r="AG9" s="89">
        <v>0</v>
      </c>
      <c r="AH9" s="89">
        <v>0</v>
      </c>
      <c r="AI9" s="89">
        <v>0</v>
      </c>
      <c r="AJ9" s="89">
        <v>10500</v>
      </c>
      <c r="AK9" s="89">
        <v>0</v>
      </c>
      <c r="AL9" s="89">
        <v>0</v>
      </c>
      <c r="AM9" s="89">
        <v>0</v>
      </c>
      <c r="AN9" s="89">
        <v>0</v>
      </c>
      <c r="AO9" s="87" t="s">
        <v>273</v>
      </c>
      <c r="AP9" s="89">
        <v>0</v>
      </c>
      <c r="AQ9" s="89">
        <v>51167.23</v>
      </c>
      <c r="AR9" s="89">
        <v>0.1</v>
      </c>
      <c r="AS9" s="89">
        <v>2520</v>
      </c>
      <c r="AT9" s="89">
        <v>2596.72</v>
      </c>
      <c r="AU9" s="89">
        <v>0</v>
      </c>
      <c r="AV9" s="89">
        <v>0</v>
      </c>
      <c r="AW9" s="89">
        <v>1841.91</v>
      </c>
      <c r="AX9" s="89">
        <v>754.81</v>
      </c>
      <c r="AY9" s="87" t="s">
        <v>274</v>
      </c>
    </row>
    <row r="10" s="82" customFormat="1" ht="19.5" spans="1:51">
      <c r="A10" s="87" t="s">
        <v>442</v>
      </c>
      <c r="B10" s="87" t="s">
        <v>307</v>
      </c>
      <c r="C10" s="87" t="s">
        <v>268</v>
      </c>
      <c r="D10" s="87" t="s">
        <v>308</v>
      </c>
      <c r="E10" s="87" t="s">
        <v>308</v>
      </c>
      <c r="F10" s="87" t="s">
        <v>270</v>
      </c>
      <c r="G10" s="88" t="s">
        <v>271</v>
      </c>
      <c r="H10" s="89">
        <v>16000</v>
      </c>
      <c r="I10" s="89">
        <v>0</v>
      </c>
      <c r="J10" s="89">
        <v>0</v>
      </c>
      <c r="K10" s="89">
        <v>5000</v>
      </c>
      <c r="L10" s="89">
        <v>572.96</v>
      </c>
      <c r="M10" s="89">
        <v>146.24</v>
      </c>
      <c r="N10" s="89">
        <v>35.81</v>
      </c>
      <c r="O10" s="89">
        <v>1000</v>
      </c>
      <c r="P10" s="89">
        <v>0</v>
      </c>
      <c r="Q10" s="89">
        <v>0</v>
      </c>
      <c r="R10" s="89">
        <v>0</v>
      </c>
      <c r="S10" s="89">
        <v>0</v>
      </c>
      <c r="T10" s="89">
        <v>0</v>
      </c>
      <c r="U10" s="89">
        <v>0</v>
      </c>
      <c r="V10" s="89">
        <v>0</v>
      </c>
      <c r="W10" s="89">
        <v>0</v>
      </c>
      <c r="X10" s="87" t="s">
        <v>272</v>
      </c>
      <c r="Y10" s="89">
        <v>0</v>
      </c>
      <c r="Z10" s="87" t="s">
        <v>272</v>
      </c>
      <c r="AA10" s="87" t="s">
        <v>272</v>
      </c>
      <c r="AB10" s="87" t="s">
        <v>272</v>
      </c>
      <c r="AC10" s="89">
        <v>0</v>
      </c>
      <c r="AD10" s="89">
        <v>111843.38</v>
      </c>
      <c r="AE10" s="89">
        <v>35000</v>
      </c>
      <c r="AF10" s="89">
        <v>12285.07</v>
      </c>
      <c r="AG10" s="89">
        <v>0</v>
      </c>
      <c r="AH10" s="89">
        <v>0</v>
      </c>
      <c r="AI10" s="89">
        <v>0</v>
      </c>
      <c r="AJ10" s="89">
        <v>0</v>
      </c>
      <c r="AK10" s="89">
        <v>0</v>
      </c>
      <c r="AL10" s="89">
        <v>0</v>
      </c>
      <c r="AM10" s="89">
        <v>0</v>
      </c>
      <c r="AN10" s="89">
        <v>0</v>
      </c>
      <c r="AO10" s="87" t="s">
        <v>273</v>
      </c>
      <c r="AP10" s="89">
        <v>0</v>
      </c>
      <c r="AQ10" s="89">
        <v>64558.31</v>
      </c>
      <c r="AR10" s="89">
        <v>0.1</v>
      </c>
      <c r="AS10" s="89">
        <v>2520</v>
      </c>
      <c r="AT10" s="89">
        <v>3935.83</v>
      </c>
      <c r="AU10" s="89">
        <v>0</v>
      </c>
      <c r="AV10" s="89">
        <v>0</v>
      </c>
      <c r="AW10" s="89">
        <v>3011.33</v>
      </c>
      <c r="AX10" s="89">
        <v>924.5</v>
      </c>
      <c r="AY10" s="87" t="s">
        <v>274</v>
      </c>
    </row>
    <row r="11" s="82" customFormat="1" ht="19.5" spans="1:51">
      <c r="A11" s="87" t="s">
        <v>443</v>
      </c>
      <c r="B11" s="87" t="s">
        <v>395</v>
      </c>
      <c r="C11" s="87" t="s">
        <v>268</v>
      </c>
      <c r="D11" s="87" t="s">
        <v>396</v>
      </c>
      <c r="E11" s="87" t="s">
        <v>396</v>
      </c>
      <c r="F11" s="87" t="s">
        <v>270</v>
      </c>
      <c r="G11" s="88" t="s">
        <v>271</v>
      </c>
      <c r="H11" s="89">
        <v>13570</v>
      </c>
      <c r="I11" s="89">
        <v>0</v>
      </c>
      <c r="J11" s="89">
        <v>0</v>
      </c>
      <c r="K11" s="89">
        <v>5000</v>
      </c>
      <c r="L11" s="89">
        <v>572.96</v>
      </c>
      <c r="M11" s="89">
        <v>146.24</v>
      </c>
      <c r="N11" s="89">
        <v>35.81</v>
      </c>
      <c r="O11" s="89">
        <v>680</v>
      </c>
      <c r="P11" s="89">
        <v>0</v>
      </c>
      <c r="Q11" s="89">
        <v>0</v>
      </c>
      <c r="R11" s="89">
        <v>0</v>
      </c>
      <c r="S11" s="89">
        <v>0</v>
      </c>
      <c r="T11" s="89">
        <v>0</v>
      </c>
      <c r="U11" s="89">
        <v>0</v>
      </c>
      <c r="V11" s="89">
        <v>0</v>
      </c>
      <c r="W11" s="89">
        <v>0</v>
      </c>
      <c r="X11" s="87" t="s">
        <v>272</v>
      </c>
      <c r="Y11" s="89">
        <v>0</v>
      </c>
      <c r="Z11" s="87" t="s">
        <v>272</v>
      </c>
      <c r="AA11" s="87" t="s">
        <v>272</v>
      </c>
      <c r="AB11" s="87" t="s">
        <v>272</v>
      </c>
      <c r="AC11" s="89">
        <v>0</v>
      </c>
      <c r="AD11" s="89">
        <v>38179.52</v>
      </c>
      <c r="AE11" s="89">
        <v>15000</v>
      </c>
      <c r="AF11" s="89">
        <v>4305.03</v>
      </c>
      <c r="AG11" s="89">
        <v>0</v>
      </c>
      <c r="AH11" s="89">
        <v>0</v>
      </c>
      <c r="AI11" s="89">
        <v>0</v>
      </c>
      <c r="AJ11" s="89">
        <v>0</v>
      </c>
      <c r="AK11" s="89">
        <v>0</v>
      </c>
      <c r="AL11" s="89">
        <v>0</v>
      </c>
      <c r="AM11" s="89">
        <v>0</v>
      </c>
      <c r="AN11" s="89">
        <v>0</v>
      </c>
      <c r="AO11" s="87" t="s">
        <v>273</v>
      </c>
      <c r="AP11" s="89">
        <v>0</v>
      </c>
      <c r="AQ11" s="89">
        <v>18874.49</v>
      </c>
      <c r="AR11" s="89">
        <v>0.03</v>
      </c>
      <c r="AS11" s="89">
        <v>0</v>
      </c>
      <c r="AT11" s="89">
        <v>566.23</v>
      </c>
      <c r="AU11" s="89">
        <v>0</v>
      </c>
      <c r="AV11" s="89">
        <v>0</v>
      </c>
      <c r="AW11" s="89">
        <v>352.19</v>
      </c>
      <c r="AX11" s="89">
        <v>214.04</v>
      </c>
      <c r="AY11" s="87" t="s">
        <v>274</v>
      </c>
    </row>
    <row r="12" s="82" customFormat="1" ht="19.5" spans="1:51">
      <c r="A12" s="87" t="s">
        <v>444</v>
      </c>
      <c r="B12" s="87" t="s">
        <v>379</v>
      </c>
      <c r="C12" s="87" t="s">
        <v>268</v>
      </c>
      <c r="D12" s="87" t="s">
        <v>380</v>
      </c>
      <c r="E12" s="87" t="s">
        <v>380</v>
      </c>
      <c r="F12" s="87" t="s">
        <v>270</v>
      </c>
      <c r="G12" s="88" t="s">
        <v>271</v>
      </c>
      <c r="H12" s="89">
        <v>8800</v>
      </c>
      <c r="I12" s="89">
        <v>0</v>
      </c>
      <c r="J12" s="89">
        <v>0</v>
      </c>
      <c r="K12" s="89">
        <v>5000</v>
      </c>
      <c r="L12" s="89">
        <v>572.96</v>
      </c>
      <c r="M12" s="89">
        <v>146.24</v>
      </c>
      <c r="N12" s="89">
        <v>35.81</v>
      </c>
      <c r="O12" s="89">
        <v>400</v>
      </c>
      <c r="P12" s="89">
        <v>0</v>
      </c>
      <c r="Q12" s="89">
        <v>0</v>
      </c>
      <c r="R12" s="89">
        <v>0</v>
      </c>
      <c r="S12" s="89">
        <v>0</v>
      </c>
      <c r="T12" s="89">
        <v>0</v>
      </c>
      <c r="U12" s="89">
        <v>0</v>
      </c>
      <c r="V12" s="89">
        <v>0</v>
      </c>
      <c r="W12" s="89">
        <v>0</v>
      </c>
      <c r="X12" s="87" t="s">
        <v>272</v>
      </c>
      <c r="Y12" s="89">
        <v>0</v>
      </c>
      <c r="Z12" s="87" t="s">
        <v>272</v>
      </c>
      <c r="AA12" s="87" t="s">
        <v>272</v>
      </c>
      <c r="AB12" s="87" t="s">
        <v>272</v>
      </c>
      <c r="AC12" s="89">
        <v>0</v>
      </c>
      <c r="AD12" s="89">
        <v>32187.98</v>
      </c>
      <c r="AE12" s="89">
        <v>20000</v>
      </c>
      <c r="AF12" s="89">
        <v>4620.04</v>
      </c>
      <c r="AG12" s="89">
        <v>0</v>
      </c>
      <c r="AH12" s="89">
        <v>0</v>
      </c>
      <c r="AI12" s="89">
        <v>0</v>
      </c>
      <c r="AJ12" s="89">
        <v>7500</v>
      </c>
      <c r="AK12" s="89">
        <v>0</v>
      </c>
      <c r="AL12" s="89">
        <v>0</v>
      </c>
      <c r="AM12" s="89">
        <v>0</v>
      </c>
      <c r="AN12" s="89">
        <v>0</v>
      </c>
      <c r="AO12" s="87" t="s">
        <v>273</v>
      </c>
      <c r="AP12" s="89">
        <v>0</v>
      </c>
      <c r="AQ12" s="89">
        <v>67.94</v>
      </c>
      <c r="AR12" s="89">
        <v>0.03</v>
      </c>
      <c r="AS12" s="89">
        <v>0</v>
      </c>
      <c r="AT12" s="89">
        <v>2.04</v>
      </c>
      <c r="AU12" s="89">
        <v>0</v>
      </c>
      <c r="AV12" s="89">
        <v>0</v>
      </c>
      <c r="AW12" s="89">
        <v>0</v>
      </c>
      <c r="AX12" s="89">
        <v>2.04</v>
      </c>
      <c r="AY12" s="87" t="s">
        <v>274</v>
      </c>
    </row>
    <row r="13" s="82" customFormat="1" ht="19.5" spans="1:51">
      <c r="A13" s="87" t="s">
        <v>445</v>
      </c>
      <c r="B13" s="87" t="s">
        <v>446</v>
      </c>
      <c r="C13" s="87" t="s">
        <v>268</v>
      </c>
      <c r="D13" s="87" t="s">
        <v>290</v>
      </c>
      <c r="E13" s="87" t="s">
        <v>290</v>
      </c>
      <c r="F13" s="87" t="s">
        <v>270</v>
      </c>
      <c r="G13" s="88" t="s">
        <v>271</v>
      </c>
      <c r="H13" s="89">
        <v>32408.01</v>
      </c>
      <c r="I13" s="89">
        <v>0</v>
      </c>
      <c r="J13" s="89">
        <v>0</v>
      </c>
      <c r="K13" s="89">
        <v>5000</v>
      </c>
      <c r="L13" s="89">
        <v>2864.88</v>
      </c>
      <c r="M13" s="89">
        <v>719.22</v>
      </c>
      <c r="N13" s="89">
        <v>179.06</v>
      </c>
      <c r="O13" s="89">
        <v>1695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7" t="s">
        <v>272</v>
      </c>
      <c r="Y13" s="89">
        <v>0</v>
      </c>
      <c r="Z13" s="87" t="s">
        <v>272</v>
      </c>
      <c r="AA13" s="87" t="s">
        <v>272</v>
      </c>
      <c r="AB13" s="87" t="s">
        <v>272</v>
      </c>
      <c r="AC13" s="89">
        <v>0</v>
      </c>
      <c r="AD13" s="89">
        <v>226856.07</v>
      </c>
      <c r="AE13" s="89">
        <v>35000</v>
      </c>
      <c r="AF13" s="89">
        <v>38207.12</v>
      </c>
      <c r="AG13" s="89">
        <v>0</v>
      </c>
      <c r="AH13" s="89">
        <v>0</v>
      </c>
      <c r="AI13" s="89">
        <v>0</v>
      </c>
      <c r="AJ13" s="89">
        <v>0</v>
      </c>
      <c r="AK13" s="89">
        <v>0</v>
      </c>
      <c r="AL13" s="89">
        <v>0</v>
      </c>
      <c r="AM13" s="89">
        <v>0</v>
      </c>
      <c r="AN13" s="89">
        <v>0</v>
      </c>
      <c r="AO13" s="87" t="s">
        <v>273</v>
      </c>
      <c r="AP13" s="89">
        <v>0</v>
      </c>
      <c r="AQ13" s="89">
        <v>153648.95</v>
      </c>
      <c r="AR13" s="89">
        <v>0.2</v>
      </c>
      <c r="AS13" s="89">
        <v>16920</v>
      </c>
      <c r="AT13" s="89">
        <v>13809.79</v>
      </c>
      <c r="AU13" s="89">
        <v>0</v>
      </c>
      <c r="AV13" s="89">
        <v>0</v>
      </c>
      <c r="AW13" s="89">
        <v>10649.91</v>
      </c>
      <c r="AX13" s="89">
        <v>3159.88</v>
      </c>
      <c r="AY13" s="87" t="s">
        <v>274</v>
      </c>
    </row>
    <row r="14" s="82" customFormat="1" ht="19.5" spans="1:51">
      <c r="A14" s="87" t="s">
        <v>447</v>
      </c>
      <c r="B14" s="87" t="s">
        <v>355</v>
      </c>
      <c r="C14" s="87" t="s">
        <v>268</v>
      </c>
      <c r="D14" s="87" t="s">
        <v>356</v>
      </c>
      <c r="E14" s="87" t="s">
        <v>356</v>
      </c>
      <c r="F14" s="87" t="s">
        <v>270</v>
      </c>
      <c r="G14" s="88" t="s">
        <v>271</v>
      </c>
      <c r="H14" s="89">
        <v>13600</v>
      </c>
      <c r="I14" s="89">
        <v>0</v>
      </c>
      <c r="J14" s="89">
        <v>0</v>
      </c>
      <c r="K14" s="89">
        <v>5000</v>
      </c>
      <c r="L14" s="89">
        <v>572.96</v>
      </c>
      <c r="M14" s="89">
        <v>146.24</v>
      </c>
      <c r="N14" s="89">
        <v>35.81</v>
      </c>
      <c r="O14" s="89">
        <v>680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X14" s="87" t="s">
        <v>272</v>
      </c>
      <c r="Y14" s="89">
        <v>0</v>
      </c>
      <c r="Z14" s="87" t="s">
        <v>272</v>
      </c>
      <c r="AA14" s="87" t="s">
        <v>272</v>
      </c>
      <c r="AB14" s="87" t="s">
        <v>272</v>
      </c>
      <c r="AC14" s="89">
        <v>0</v>
      </c>
      <c r="AD14" s="89">
        <v>94599.2</v>
      </c>
      <c r="AE14" s="89">
        <v>35000</v>
      </c>
      <c r="AF14" s="89">
        <v>10045.07</v>
      </c>
      <c r="AG14" s="89">
        <v>0</v>
      </c>
      <c r="AH14" s="89">
        <v>0</v>
      </c>
      <c r="AI14" s="89">
        <v>0</v>
      </c>
      <c r="AJ14" s="89">
        <v>0</v>
      </c>
      <c r="AK14" s="89">
        <v>0</v>
      </c>
      <c r="AL14" s="89">
        <v>0</v>
      </c>
      <c r="AM14" s="89">
        <v>0</v>
      </c>
      <c r="AN14" s="89">
        <v>0</v>
      </c>
      <c r="AO14" s="87" t="s">
        <v>273</v>
      </c>
      <c r="AP14" s="89">
        <v>0</v>
      </c>
      <c r="AQ14" s="89">
        <v>49554.13</v>
      </c>
      <c r="AR14" s="89">
        <v>0.1</v>
      </c>
      <c r="AS14" s="89">
        <v>2520</v>
      </c>
      <c r="AT14" s="89">
        <v>2435.41</v>
      </c>
      <c r="AU14" s="89">
        <v>0</v>
      </c>
      <c r="AV14" s="89">
        <v>0</v>
      </c>
      <c r="AW14" s="89">
        <v>1718.91</v>
      </c>
      <c r="AX14" s="89">
        <v>716.5</v>
      </c>
      <c r="AY14" s="87" t="s">
        <v>274</v>
      </c>
    </row>
    <row r="15" s="82" customFormat="1" ht="19.5" spans="1:51">
      <c r="A15" s="87" t="s">
        <v>448</v>
      </c>
      <c r="B15" s="87" t="s">
        <v>311</v>
      </c>
      <c r="C15" s="87" t="s">
        <v>268</v>
      </c>
      <c r="D15" s="87" t="s">
        <v>312</v>
      </c>
      <c r="E15" s="87" t="s">
        <v>312</v>
      </c>
      <c r="F15" s="87" t="s">
        <v>270</v>
      </c>
      <c r="G15" s="88" t="s">
        <v>271</v>
      </c>
      <c r="H15" s="89">
        <v>26986.87</v>
      </c>
      <c r="I15" s="89">
        <v>0</v>
      </c>
      <c r="J15" s="89">
        <v>0</v>
      </c>
      <c r="K15" s="89">
        <v>5000</v>
      </c>
      <c r="L15" s="89">
        <v>572.96</v>
      </c>
      <c r="M15" s="89">
        <v>146.24</v>
      </c>
      <c r="N15" s="89">
        <v>35.81</v>
      </c>
      <c r="O15" s="89">
        <v>1350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7" t="s">
        <v>272</v>
      </c>
      <c r="Y15" s="89">
        <v>0</v>
      </c>
      <c r="Z15" s="87" t="s">
        <v>272</v>
      </c>
      <c r="AA15" s="87" t="s">
        <v>272</v>
      </c>
      <c r="AB15" s="87" t="s">
        <v>272</v>
      </c>
      <c r="AC15" s="89">
        <v>0</v>
      </c>
      <c r="AD15" s="89">
        <v>192033.75</v>
      </c>
      <c r="AE15" s="89">
        <v>35000</v>
      </c>
      <c r="AF15" s="89">
        <v>14735.07</v>
      </c>
      <c r="AG15" s="89">
        <v>0</v>
      </c>
      <c r="AH15" s="89">
        <v>0</v>
      </c>
      <c r="AI15" s="89">
        <v>0</v>
      </c>
      <c r="AJ15" s="89">
        <v>0</v>
      </c>
      <c r="AK15" s="89">
        <v>0</v>
      </c>
      <c r="AL15" s="89">
        <v>0</v>
      </c>
      <c r="AM15" s="89">
        <v>0</v>
      </c>
      <c r="AN15" s="89">
        <v>0</v>
      </c>
      <c r="AO15" s="87" t="s">
        <v>273</v>
      </c>
      <c r="AP15" s="89">
        <v>0</v>
      </c>
      <c r="AQ15" s="89">
        <v>142298.68</v>
      </c>
      <c r="AR15" s="89">
        <v>0.1</v>
      </c>
      <c r="AS15" s="89">
        <v>2520</v>
      </c>
      <c r="AT15" s="89">
        <v>11709.87</v>
      </c>
      <c r="AU15" s="89">
        <v>0</v>
      </c>
      <c r="AV15" s="89">
        <v>0</v>
      </c>
      <c r="AW15" s="89">
        <v>9721.68</v>
      </c>
      <c r="AX15" s="89">
        <v>1988.19</v>
      </c>
      <c r="AY15" s="87" t="s">
        <v>274</v>
      </c>
    </row>
    <row r="16" s="82" customFormat="1" ht="19.5" spans="1:51">
      <c r="A16" s="87" t="s">
        <v>449</v>
      </c>
      <c r="B16" s="87" t="s">
        <v>353</v>
      </c>
      <c r="C16" s="87" t="s">
        <v>268</v>
      </c>
      <c r="D16" s="87" t="s">
        <v>354</v>
      </c>
      <c r="E16" s="87" t="s">
        <v>354</v>
      </c>
      <c r="F16" s="87" t="s">
        <v>270</v>
      </c>
      <c r="G16" s="88" t="s">
        <v>271</v>
      </c>
      <c r="H16" s="89">
        <v>14970</v>
      </c>
      <c r="I16" s="89">
        <v>0</v>
      </c>
      <c r="J16" s="89">
        <v>0</v>
      </c>
      <c r="K16" s="89">
        <v>5000</v>
      </c>
      <c r="L16" s="89">
        <v>572.96</v>
      </c>
      <c r="M16" s="89">
        <v>146.24</v>
      </c>
      <c r="N16" s="89">
        <v>35.81</v>
      </c>
      <c r="O16" s="89">
        <v>520</v>
      </c>
      <c r="P16" s="89">
        <v>0</v>
      </c>
      <c r="Q16" s="89">
        <v>0</v>
      </c>
      <c r="R16" s="89">
        <v>0</v>
      </c>
      <c r="S16" s="89">
        <v>0</v>
      </c>
      <c r="T16" s="89">
        <v>0</v>
      </c>
      <c r="U16" s="89">
        <v>0</v>
      </c>
      <c r="V16" s="89">
        <v>0</v>
      </c>
      <c r="W16" s="89">
        <v>0</v>
      </c>
      <c r="X16" s="87" t="s">
        <v>272</v>
      </c>
      <c r="Y16" s="89">
        <v>0</v>
      </c>
      <c r="Z16" s="87" t="s">
        <v>272</v>
      </c>
      <c r="AA16" s="87" t="s">
        <v>272</v>
      </c>
      <c r="AB16" s="87" t="s">
        <v>272</v>
      </c>
      <c r="AC16" s="89">
        <v>0</v>
      </c>
      <c r="AD16" s="89">
        <v>104377.77</v>
      </c>
      <c r="AE16" s="89">
        <v>35000</v>
      </c>
      <c r="AF16" s="89">
        <v>8925.07</v>
      </c>
      <c r="AG16" s="89">
        <v>0</v>
      </c>
      <c r="AH16" s="89">
        <v>0</v>
      </c>
      <c r="AI16" s="89">
        <v>0</v>
      </c>
      <c r="AJ16" s="89">
        <v>0</v>
      </c>
      <c r="AK16" s="89">
        <v>0</v>
      </c>
      <c r="AL16" s="89">
        <v>0</v>
      </c>
      <c r="AM16" s="89">
        <v>0</v>
      </c>
      <c r="AN16" s="89">
        <v>0</v>
      </c>
      <c r="AO16" s="87" t="s">
        <v>273</v>
      </c>
      <c r="AP16" s="89">
        <v>0</v>
      </c>
      <c r="AQ16" s="89">
        <v>60452.7</v>
      </c>
      <c r="AR16" s="89">
        <v>0.1</v>
      </c>
      <c r="AS16" s="89">
        <v>2520</v>
      </c>
      <c r="AT16" s="89">
        <v>3525.27</v>
      </c>
      <c r="AU16" s="89">
        <v>0</v>
      </c>
      <c r="AV16" s="89">
        <v>0</v>
      </c>
      <c r="AW16" s="89">
        <v>2655.77</v>
      </c>
      <c r="AX16" s="89">
        <v>869.5</v>
      </c>
      <c r="AY16" s="87" t="s">
        <v>274</v>
      </c>
    </row>
    <row r="17" s="82" customFormat="1" customHeight="1" spans="1:51">
      <c r="A17" s="87" t="s">
        <v>450</v>
      </c>
      <c r="B17" s="87" t="s">
        <v>335</v>
      </c>
      <c r="C17" s="87" t="s">
        <v>268</v>
      </c>
      <c r="D17" s="87" t="s">
        <v>336</v>
      </c>
      <c r="E17" s="87" t="s">
        <v>336</v>
      </c>
      <c r="F17" s="87" t="s">
        <v>270</v>
      </c>
      <c r="G17" s="88" t="s">
        <v>271</v>
      </c>
      <c r="H17" s="89">
        <v>17967.14</v>
      </c>
      <c r="I17" s="89">
        <v>0</v>
      </c>
      <c r="J17" s="89">
        <v>0</v>
      </c>
      <c r="K17" s="89">
        <v>5000</v>
      </c>
      <c r="L17" s="89">
        <v>572.96</v>
      </c>
      <c r="M17" s="89">
        <v>146.24</v>
      </c>
      <c r="N17" s="89">
        <v>35.81</v>
      </c>
      <c r="O17" s="89">
        <v>560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7" t="s">
        <v>272</v>
      </c>
      <c r="Y17" s="89">
        <v>0</v>
      </c>
      <c r="Z17" s="87" t="s">
        <v>272</v>
      </c>
      <c r="AA17" s="87" t="s">
        <v>272</v>
      </c>
      <c r="AB17" s="87" t="s">
        <v>272</v>
      </c>
      <c r="AC17" s="89">
        <v>0</v>
      </c>
      <c r="AD17" s="89">
        <v>126069.22</v>
      </c>
      <c r="AE17" s="89">
        <v>35000</v>
      </c>
      <c r="AF17" s="89">
        <v>9205.07</v>
      </c>
      <c r="AG17" s="89">
        <v>0</v>
      </c>
      <c r="AH17" s="89">
        <v>0</v>
      </c>
      <c r="AI17" s="89">
        <v>0</v>
      </c>
      <c r="AJ17" s="89">
        <v>0</v>
      </c>
      <c r="AK17" s="89">
        <v>0</v>
      </c>
      <c r="AL17" s="89">
        <v>0</v>
      </c>
      <c r="AM17" s="89">
        <v>0</v>
      </c>
      <c r="AN17" s="89">
        <v>0</v>
      </c>
      <c r="AO17" s="87" t="s">
        <v>273</v>
      </c>
      <c r="AP17" s="89">
        <v>0</v>
      </c>
      <c r="AQ17" s="89">
        <v>81864.15</v>
      </c>
      <c r="AR17" s="89">
        <v>0.1</v>
      </c>
      <c r="AS17" s="89">
        <v>2520</v>
      </c>
      <c r="AT17" s="89">
        <v>5666.42</v>
      </c>
      <c r="AU17" s="89">
        <v>0</v>
      </c>
      <c r="AV17" s="89">
        <v>0</v>
      </c>
      <c r="AW17" s="89">
        <v>4501.2</v>
      </c>
      <c r="AX17" s="89">
        <v>1165.22</v>
      </c>
      <c r="AY17" s="87" t="s">
        <v>274</v>
      </c>
    </row>
    <row r="18" s="82" customFormat="1" customHeight="1" spans="1:51">
      <c r="A18" s="87" t="s">
        <v>451</v>
      </c>
      <c r="B18" s="87" t="s">
        <v>309</v>
      </c>
      <c r="C18" s="87" t="s">
        <v>268</v>
      </c>
      <c r="D18" s="87" t="s">
        <v>310</v>
      </c>
      <c r="E18" s="87" t="s">
        <v>310</v>
      </c>
      <c r="F18" s="87" t="s">
        <v>270</v>
      </c>
      <c r="G18" s="88" t="s">
        <v>271</v>
      </c>
      <c r="H18" s="89">
        <v>21174.76</v>
      </c>
      <c r="I18" s="89">
        <v>0</v>
      </c>
      <c r="J18" s="89">
        <v>0</v>
      </c>
      <c r="K18" s="89">
        <v>5000</v>
      </c>
      <c r="L18" s="89">
        <v>572.96</v>
      </c>
      <c r="M18" s="89">
        <v>146.24</v>
      </c>
      <c r="N18" s="89">
        <v>35.81</v>
      </c>
      <c r="O18" s="89">
        <v>1325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89">
        <v>0</v>
      </c>
      <c r="W18" s="89">
        <v>0</v>
      </c>
      <c r="X18" s="87" t="s">
        <v>272</v>
      </c>
      <c r="Y18" s="89">
        <v>0</v>
      </c>
      <c r="Z18" s="87" t="s">
        <v>272</v>
      </c>
      <c r="AA18" s="87" t="s">
        <v>272</v>
      </c>
      <c r="AB18" s="87" t="s">
        <v>272</v>
      </c>
      <c r="AC18" s="89">
        <v>0</v>
      </c>
      <c r="AD18" s="89">
        <v>148065.65</v>
      </c>
      <c r="AE18" s="89">
        <v>35000</v>
      </c>
      <c r="AF18" s="89">
        <v>14560.07</v>
      </c>
      <c r="AG18" s="89">
        <v>0</v>
      </c>
      <c r="AH18" s="89">
        <v>0</v>
      </c>
      <c r="AI18" s="89">
        <v>0</v>
      </c>
      <c r="AJ18" s="89">
        <v>0</v>
      </c>
      <c r="AK18" s="89">
        <v>0</v>
      </c>
      <c r="AL18" s="89">
        <v>0</v>
      </c>
      <c r="AM18" s="89">
        <v>0</v>
      </c>
      <c r="AN18" s="89">
        <v>0</v>
      </c>
      <c r="AO18" s="87" t="s">
        <v>273</v>
      </c>
      <c r="AP18" s="89">
        <v>0</v>
      </c>
      <c r="AQ18" s="89">
        <v>98505.58</v>
      </c>
      <c r="AR18" s="89">
        <v>0.1</v>
      </c>
      <c r="AS18" s="89">
        <v>2520</v>
      </c>
      <c r="AT18" s="89">
        <v>7330.56</v>
      </c>
      <c r="AU18" s="89">
        <v>0</v>
      </c>
      <c r="AV18" s="89">
        <v>0</v>
      </c>
      <c r="AW18" s="89">
        <v>5921.08</v>
      </c>
      <c r="AX18" s="89">
        <v>1409.48</v>
      </c>
      <c r="AY18" s="87" t="s">
        <v>274</v>
      </c>
    </row>
    <row r="19" s="82" customFormat="1" customHeight="1" spans="1:51">
      <c r="A19" s="87" t="s">
        <v>452</v>
      </c>
      <c r="B19" s="87" t="s">
        <v>367</v>
      </c>
      <c r="C19" s="87" t="s">
        <v>268</v>
      </c>
      <c r="D19" s="87" t="s">
        <v>368</v>
      </c>
      <c r="E19" s="87" t="s">
        <v>368</v>
      </c>
      <c r="F19" s="87" t="s">
        <v>270</v>
      </c>
      <c r="G19" s="88" t="s">
        <v>271</v>
      </c>
      <c r="H19" s="89">
        <v>8050.02</v>
      </c>
      <c r="I19" s="89">
        <v>0</v>
      </c>
      <c r="J19" s="89">
        <v>0</v>
      </c>
      <c r="K19" s="89">
        <v>5000</v>
      </c>
      <c r="L19" s="89">
        <v>572.96</v>
      </c>
      <c r="M19" s="89">
        <v>146.24</v>
      </c>
      <c r="N19" s="89">
        <v>35.81</v>
      </c>
      <c r="O19" s="89">
        <v>127</v>
      </c>
      <c r="P19" s="89">
        <v>0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89">
        <v>0</v>
      </c>
      <c r="W19" s="89">
        <v>0</v>
      </c>
      <c r="X19" s="87" t="s">
        <v>272</v>
      </c>
      <c r="Y19" s="89">
        <v>0</v>
      </c>
      <c r="Z19" s="87" t="s">
        <v>272</v>
      </c>
      <c r="AA19" s="87" t="s">
        <v>272</v>
      </c>
      <c r="AB19" s="87" t="s">
        <v>272</v>
      </c>
      <c r="AC19" s="89">
        <v>0</v>
      </c>
      <c r="AD19" s="89">
        <v>48686.27</v>
      </c>
      <c r="AE19" s="89">
        <v>35000</v>
      </c>
      <c r="AF19" s="89">
        <v>5292.06</v>
      </c>
      <c r="AG19" s="89">
        <v>0</v>
      </c>
      <c r="AH19" s="89">
        <v>0</v>
      </c>
      <c r="AI19" s="89">
        <v>0</v>
      </c>
      <c r="AJ19" s="89">
        <v>0</v>
      </c>
      <c r="AK19" s="89">
        <v>0</v>
      </c>
      <c r="AL19" s="89">
        <v>0</v>
      </c>
      <c r="AM19" s="89">
        <v>0</v>
      </c>
      <c r="AN19" s="89">
        <v>0</v>
      </c>
      <c r="AO19" s="87" t="s">
        <v>273</v>
      </c>
      <c r="AP19" s="89">
        <v>0</v>
      </c>
      <c r="AQ19" s="89">
        <v>8394.21</v>
      </c>
      <c r="AR19" s="89">
        <v>0.03</v>
      </c>
      <c r="AS19" s="89">
        <v>0</v>
      </c>
      <c r="AT19" s="89">
        <v>251.83</v>
      </c>
      <c r="AU19" s="89">
        <v>0</v>
      </c>
      <c r="AV19" s="89">
        <v>0</v>
      </c>
      <c r="AW19" s="89">
        <v>186.79</v>
      </c>
      <c r="AX19" s="89">
        <v>65.04</v>
      </c>
      <c r="AY19" s="87" t="s">
        <v>274</v>
      </c>
    </row>
    <row r="20" s="82" customFormat="1" customHeight="1" spans="1:51">
      <c r="A20" s="87" t="s">
        <v>453</v>
      </c>
      <c r="B20" s="87" t="s">
        <v>389</v>
      </c>
      <c r="C20" s="87" t="s">
        <v>268</v>
      </c>
      <c r="D20" s="87" t="s">
        <v>390</v>
      </c>
      <c r="E20" s="87" t="s">
        <v>390</v>
      </c>
      <c r="F20" s="87" t="s">
        <v>270</v>
      </c>
      <c r="G20" s="88" t="s">
        <v>271</v>
      </c>
      <c r="H20" s="89">
        <v>12000</v>
      </c>
      <c r="I20" s="89">
        <v>0</v>
      </c>
      <c r="J20" s="89">
        <v>0</v>
      </c>
      <c r="K20" s="89">
        <v>5000</v>
      </c>
      <c r="L20" s="89">
        <v>572.96</v>
      </c>
      <c r="M20" s="89">
        <v>146.24</v>
      </c>
      <c r="N20" s="89">
        <v>35.81</v>
      </c>
      <c r="O20" s="89">
        <v>600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89">
        <v>0</v>
      </c>
      <c r="W20" s="89">
        <v>0</v>
      </c>
      <c r="X20" s="87" t="s">
        <v>272</v>
      </c>
      <c r="Y20" s="89">
        <v>0</v>
      </c>
      <c r="Z20" s="87" t="s">
        <v>272</v>
      </c>
      <c r="AA20" s="87" t="s">
        <v>272</v>
      </c>
      <c r="AB20" s="87" t="s">
        <v>272</v>
      </c>
      <c r="AC20" s="89">
        <v>0</v>
      </c>
      <c r="AD20" s="89">
        <v>38727.27</v>
      </c>
      <c r="AE20" s="89">
        <v>20000</v>
      </c>
      <c r="AF20" s="89">
        <v>4065.03</v>
      </c>
      <c r="AG20" s="89">
        <v>0</v>
      </c>
      <c r="AH20" s="89">
        <v>0</v>
      </c>
      <c r="AI20" s="89">
        <v>0</v>
      </c>
      <c r="AJ20" s="89">
        <v>0</v>
      </c>
      <c r="AK20" s="89">
        <v>0</v>
      </c>
      <c r="AL20" s="89">
        <v>0</v>
      </c>
      <c r="AM20" s="89">
        <v>0</v>
      </c>
      <c r="AN20" s="89">
        <v>0</v>
      </c>
      <c r="AO20" s="87" t="s">
        <v>273</v>
      </c>
      <c r="AP20" s="89">
        <v>0</v>
      </c>
      <c r="AQ20" s="89">
        <v>14662.24</v>
      </c>
      <c r="AR20" s="89">
        <v>0.03</v>
      </c>
      <c r="AS20" s="89">
        <v>0</v>
      </c>
      <c r="AT20" s="89">
        <v>439.87</v>
      </c>
      <c r="AU20" s="89">
        <v>0</v>
      </c>
      <c r="AV20" s="89">
        <v>0</v>
      </c>
      <c r="AW20" s="89">
        <v>270.52</v>
      </c>
      <c r="AX20" s="89">
        <v>169.35</v>
      </c>
      <c r="AY20" s="87" t="s">
        <v>274</v>
      </c>
    </row>
    <row r="21" s="82" customFormat="1" customHeight="1" spans="1:51">
      <c r="A21" s="87" t="s">
        <v>454</v>
      </c>
      <c r="B21" s="87" t="s">
        <v>291</v>
      </c>
      <c r="C21" s="87" t="s">
        <v>268</v>
      </c>
      <c r="D21" s="87" t="s">
        <v>292</v>
      </c>
      <c r="E21" s="87" t="s">
        <v>292</v>
      </c>
      <c r="F21" s="87" t="s">
        <v>270</v>
      </c>
      <c r="G21" s="88" t="s">
        <v>271</v>
      </c>
      <c r="H21" s="89">
        <v>16076.67</v>
      </c>
      <c r="I21" s="89">
        <v>0</v>
      </c>
      <c r="J21" s="89">
        <v>0</v>
      </c>
      <c r="K21" s="89">
        <v>5000</v>
      </c>
      <c r="L21" s="89">
        <v>572.96</v>
      </c>
      <c r="M21" s="89">
        <v>146.24</v>
      </c>
      <c r="N21" s="89">
        <v>35.81</v>
      </c>
      <c r="O21" s="89">
        <v>960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7" t="s">
        <v>272</v>
      </c>
      <c r="Y21" s="89">
        <v>0</v>
      </c>
      <c r="Z21" s="87" t="s">
        <v>272</v>
      </c>
      <c r="AA21" s="87" t="s">
        <v>272</v>
      </c>
      <c r="AB21" s="87" t="s">
        <v>272</v>
      </c>
      <c r="AC21" s="89">
        <v>0</v>
      </c>
      <c r="AD21" s="89">
        <v>112643.55</v>
      </c>
      <c r="AE21" s="89">
        <v>35000</v>
      </c>
      <c r="AF21" s="89">
        <v>12005.07</v>
      </c>
      <c r="AG21" s="89">
        <v>0</v>
      </c>
      <c r="AH21" s="89">
        <v>0</v>
      </c>
      <c r="AI21" s="89">
        <v>0</v>
      </c>
      <c r="AJ21" s="89">
        <v>0</v>
      </c>
      <c r="AK21" s="89">
        <v>0</v>
      </c>
      <c r="AL21" s="89">
        <v>0</v>
      </c>
      <c r="AM21" s="89">
        <v>0</v>
      </c>
      <c r="AN21" s="89">
        <v>0</v>
      </c>
      <c r="AO21" s="87" t="s">
        <v>273</v>
      </c>
      <c r="AP21" s="89">
        <v>0</v>
      </c>
      <c r="AQ21" s="89">
        <v>65638.48</v>
      </c>
      <c r="AR21" s="89">
        <v>0.1</v>
      </c>
      <c r="AS21" s="89">
        <v>2520</v>
      </c>
      <c r="AT21" s="89">
        <v>4043.85</v>
      </c>
      <c r="AU21" s="89">
        <v>0</v>
      </c>
      <c r="AV21" s="89">
        <v>0</v>
      </c>
      <c r="AW21" s="89">
        <v>3107.68</v>
      </c>
      <c r="AX21" s="89">
        <v>936.17</v>
      </c>
      <c r="AY21" s="87" t="s">
        <v>274</v>
      </c>
    </row>
    <row r="22" s="82" customFormat="1" ht="19.5" spans="1:51">
      <c r="A22" s="87" t="s">
        <v>455</v>
      </c>
      <c r="B22" s="87" t="s">
        <v>315</v>
      </c>
      <c r="C22" s="87" t="s">
        <v>268</v>
      </c>
      <c r="D22" s="87" t="s">
        <v>316</v>
      </c>
      <c r="E22" s="87" t="s">
        <v>316</v>
      </c>
      <c r="F22" s="87" t="s">
        <v>270</v>
      </c>
      <c r="G22" s="88" t="s">
        <v>271</v>
      </c>
      <c r="H22" s="89">
        <v>21000</v>
      </c>
      <c r="I22" s="89">
        <v>0</v>
      </c>
      <c r="J22" s="89">
        <v>0</v>
      </c>
      <c r="K22" s="89">
        <v>5000</v>
      </c>
      <c r="L22" s="89">
        <v>572.96</v>
      </c>
      <c r="M22" s="89">
        <v>146.24</v>
      </c>
      <c r="N22" s="89">
        <v>35.81</v>
      </c>
      <c r="O22" s="89">
        <v>1500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7" t="s">
        <v>272</v>
      </c>
      <c r="Y22" s="89">
        <v>0</v>
      </c>
      <c r="Z22" s="87" t="s">
        <v>272</v>
      </c>
      <c r="AA22" s="87" t="s">
        <v>272</v>
      </c>
      <c r="AB22" s="87" t="s">
        <v>272</v>
      </c>
      <c r="AC22" s="89">
        <v>0</v>
      </c>
      <c r="AD22" s="89">
        <v>146957.98</v>
      </c>
      <c r="AE22" s="89">
        <v>35000</v>
      </c>
      <c r="AF22" s="89">
        <v>15785.07</v>
      </c>
      <c r="AG22" s="89">
        <v>0</v>
      </c>
      <c r="AH22" s="89">
        <v>0</v>
      </c>
      <c r="AI22" s="89">
        <v>0</v>
      </c>
      <c r="AJ22" s="89">
        <v>0</v>
      </c>
      <c r="AK22" s="89">
        <v>0</v>
      </c>
      <c r="AL22" s="89">
        <v>0</v>
      </c>
      <c r="AM22" s="89">
        <v>0</v>
      </c>
      <c r="AN22" s="89">
        <v>0</v>
      </c>
      <c r="AO22" s="87" t="s">
        <v>273</v>
      </c>
      <c r="AP22" s="89">
        <v>0</v>
      </c>
      <c r="AQ22" s="89">
        <v>96172.91</v>
      </c>
      <c r="AR22" s="89">
        <v>0.1</v>
      </c>
      <c r="AS22" s="89">
        <v>2520</v>
      </c>
      <c r="AT22" s="89">
        <v>7097.29</v>
      </c>
      <c r="AU22" s="89">
        <v>0</v>
      </c>
      <c r="AV22" s="89">
        <v>0</v>
      </c>
      <c r="AW22" s="89">
        <v>5722.79</v>
      </c>
      <c r="AX22" s="89">
        <v>1374.5</v>
      </c>
      <c r="AY22" s="87" t="s">
        <v>274</v>
      </c>
    </row>
    <row r="23" s="82" customFormat="1" ht="19.5" spans="1:51">
      <c r="A23" s="87" t="s">
        <v>456</v>
      </c>
      <c r="B23" s="87" t="s">
        <v>293</v>
      </c>
      <c r="C23" s="87" t="s">
        <v>268</v>
      </c>
      <c r="D23" s="87" t="s">
        <v>294</v>
      </c>
      <c r="E23" s="87" t="s">
        <v>294</v>
      </c>
      <c r="F23" s="87" t="s">
        <v>270</v>
      </c>
      <c r="G23" s="88" t="s">
        <v>271</v>
      </c>
      <c r="H23" s="89">
        <v>40000</v>
      </c>
      <c r="I23" s="89">
        <v>0</v>
      </c>
      <c r="J23" s="89">
        <v>0</v>
      </c>
      <c r="K23" s="89">
        <v>5000</v>
      </c>
      <c r="L23" s="89">
        <v>572.96</v>
      </c>
      <c r="M23" s="89">
        <v>146.24</v>
      </c>
      <c r="N23" s="89">
        <v>35.81</v>
      </c>
      <c r="O23" s="89">
        <v>1695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0</v>
      </c>
      <c r="X23" s="87" t="s">
        <v>272</v>
      </c>
      <c r="Y23" s="89">
        <v>0</v>
      </c>
      <c r="Z23" s="87" t="s">
        <v>272</v>
      </c>
      <c r="AA23" s="87" t="s">
        <v>272</v>
      </c>
      <c r="AB23" s="87" t="s">
        <v>272</v>
      </c>
      <c r="AC23" s="89">
        <v>0</v>
      </c>
      <c r="AD23" s="89">
        <v>280000</v>
      </c>
      <c r="AE23" s="89">
        <v>35000</v>
      </c>
      <c r="AF23" s="89">
        <v>17150.07</v>
      </c>
      <c r="AG23" s="89">
        <v>0</v>
      </c>
      <c r="AH23" s="89">
        <v>10500</v>
      </c>
      <c r="AI23" s="89">
        <v>0</v>
      </c>
      <c r="AJ23" s="89">
        <v>0</v>
      </c>
      <c r="AK23" s="89">
        <v>0</v>
      </c>
      <c r="AL23" s="89">
        <v>0</v>
      </c>
      <c r="AM23" s="89">
        <v>0</v>
      </c>
      <c r="AN23" s="89">
        <v>0</v>
      </c>
      <c r="AO23" s="87" t="s">
        <v>273</v>
      </c>
      <c r="AP23" s="89">
        <v>0</v>
      </c>
      <c r="AQ23" s="89">
        <v>217349.93</v>
      </c>
      <c r="AR23" s="89">
        <v>0.2</v>
      </c>
      <c r="AS23" s="89">
        <v>16920</v>
      </c>
      <c r="AT23" s="89">
        <v>26549.99</v>
      </c>
      <c r="AU23" s="89">
        <v>0</v>
      </c>
      <c r="AV23" s="89">
        <v>0</v>
      </c>
      <c r="AW23" s="89">
        <v>20339.99</v>
      </c>
      <c r="AX23" s="89">
        <v>6210</v>
      </c>
      <c r="AY23" s="87" t="s">
        <v>274</v>
      </c>
    </row>
    <row r="24" s="82" customFormat="1" customHeight="1" spans="1:51">
      <c r="A24" s="87" t="s">
        <v>457</v>
      </c>
      <c r="B24" s="87" t="s">
        <v>331</v>
      </c>
      <c r="C24" s="87" t="s">
        <v>268</v>
      </c>
      <c r="D24" s="87" t="s">
        <v>332</v>
      </c>
      <c r="E24" s="87" t="s">
        <v>332</v>
      </c>
      <c r="F24" s="87" t="s">
        <v>270</v>
      </c>
      <c r="G24" s="88" t="s">
        <v>271</v>
      </c>
      <c r="H24" s="89">
        <v>11197.78</v>
      </c>
      <c r="I24" s="89">
        <v>0</v>
      </c>
      <c r="J24" s="89">
        <v>0</v>
      </c>
      <c r="K24" s="89">
        <v>5000</v>
      </c>
      <c r="L24" s="89">
        <v>572.96</v>
      </c>
      <c r="M24" s="89">
        <v>146.24</v>
      </c>
      <c r="N24" s="89">
        <v>35.81</v>
      </c>
      <c r="O24" s="89">
        <v>560</v>
      </c>
      <c r="P24" s="89">
        <v>0</v>
      </c>
      <c r="Q24" s="89">
        <v>0</v>
      </c>
      <c r="R24" s="89">
        <v>0</v>
      </c>
      <c r="S24" s="89">
        <v>0</v>
      </c>
      <c r="T24" s="89">
        <v>0</v>
      </c>
      <c r="U24" s="89">
        <v>0</v>
      </c>
      <c r="V24" s="89">
        <v>0</v>
      </c>
      <c r="W24" s="89">
        <v>0</v>
      </c>
      <c r="X24" s="87" t="s">
        <v>272</v>
      </c>
      <c r="Y24" s="89">
        <v>0</v>
      </c>
      <c r="Z24" s="87" t="s">
        <v>272</v>
      </c>
      <c r="AA24" s="87" t="s">
        <v>272</v>
      </c>
      <c r="AB24" s="87" t="s">
        <v>272</v>
      </c>
      <c r="AC24" s="89">
        <v>0</v>
      </c>
      <c r="AD24" s="89">
        <v>78101.66</v>
      </c>
      <c r="AE24" s="89">
        <v>35000</v>
      </c>
      <c r="AF24" s="89">
        <v>9205.07</v>
      </c>
      <c r="AG24" s="89">
        <v>0</v>
      </c>
      <c r="AH24" s="89">
        <v>21000</v>
      </c>
      <c r="AI24" s="89">
        <v>0</v>
      </c>
      <c r="AJ24" s="89">
        <v>1500</v>
      </c>
      <c r="AK24" s="89">
        <v>0</v>
      </c>
      <c r="AL24" s="89">
        <v>14000</v>
      </c>
      <c r="AM24" s="89">
        <v>0</v>
      </c>
      <c r="AN24" s="89">
        <v>0</v>
      </c>
      <c r="AO24" s="87" t="s">
        <v>273</v>
      </c>
      <c r="AP24" s="89">
        <v>0</v>
      </c>
      <c r="AQ24" s="89">
        <v>0</v>
      </c>
      <c r="AR24" s="89">
        <v>0.03</v>
      </c>
      <c r="AS24" s="89">
        <v>0</v>
      </c>
      <c r="AT24" s="89">
        <v>0</v>
      </c>
      <c r="AU24" s="89">
        <v>0</v>
      </c>
      <c r="AV24" s="89">
        <v>0</v>
      </c>
      <c r="AW24" s="89">
        <v>434.25</v>
      </c>
      <c r="AX24" s="89">
        <v>0</v>
      </c>
      <c r="AY24" s="87" t="s">
        <v>274</v>
      </c>
    </row>
    <row r="25" s="82" customFormat="1" ht="19.5" spans="1:51">
      <c r="A25" s="87" t="s">
        <v>458</v>
      </c>
      <c r="B25" s="87" t="s">
        <v>303</v>
      </c>
      <c r="C25" s="87" t="s">
        <v>268</v>
      </c>
      <c r="D25" s="87" t="s">
        <v>304</v>
      </c>
      <c r="E25" s="87" t="s">
        <v>304</v>
      </c>
      <c r="F25" s="87" t="s">
        <v>270</v>
      </c>
      <c r="G25" s="88" t="s">
        <v>271</v>
      </c>
      <c r="H25" s="89">
        <v>21039.6</v>
      </c>
      <c r="I25" s="89">
        <v>0</v>
      </c>
      <c r="J25" s="89">
        <v>0</v>
      </c>
      <c r="K25" s="89">
        <v>5000</v>
      </c>
      <c r="L25" s="89">
        <v>572.96</v>
      </c>
      <c r="M25" s="89">
        <v>146.24</v>
      </c>
      <c r="N25" s="89">
        <v>35.81</v>
      </c>
      <c r="O25" s="89">
        <v>1500</v>
      </c>
      <c r="P25" s="89">
        <v>0</v>
      </c>
      <c r="Q25" s="89">
        <v>0</v>
      </c>
      <c r="R25" s="89">
        <v>0</v>
      </c>
      <c r="S25" s="89">
        <v>0</v>
      </c>
      <c r="T25" s="89">
        <v>0</v>
      </c>
      <c r="U25" s="89">
        <v>0</v>
      </c>
      <c r="V25" s="89">
        <v>0</v>
      </c>
      <c r="W25" s="89">
        <v>0</v>
      </c>
      <c r="X25" s="87" t="s">
        <v>272</v>
      </c>
      <c r="Y25" s="89">
        <v>0</v>
      </c>
      <c r="Z25" s="87" t="s">
        <v>272</v>
      </c>
      <c r="AA25" s="87" t="s">
        <v>272</v>
      </c>
      <c r="AB25" s="87" t="s">
        <v>272</v>
      </c>
      <c r="AC25" s="89">
        <v>0</v>
      </c>
      <c r="AD25" s="89">
        <v>147052.64</v>
      </c>
      <c r="AE25" s="89">
        <v>35000</v>
      </c>
      <c r="AF25" s="89">
        <v>15785.07</v>
      </c>
      <c r="AG25" s="89">
        <v>0</v>
      </c>
      <c r="AH25" s="89">
        <v>0</v>
      </c>
      <c r="AI25" s="89">
        <v>0</v>
      </c>
      <c r="AJ25" s="89">
        <v>0</v>
      </c>
      <c r="AK25" s="89">
        <v>0</v>
      </c>
      <c r="AL25" s="89">
        <v>0</v>
      </c>
      <c r="AM25" s="89">
        <v>0</v>
      </c>
      <c r="AN25" s="89">
        <v>0</v>
      </c>
      <c r="AO25" s="87" t="s">
        <v>273</v>
      </c>
      <c r="AP25" s="89">
        <v>0</v>
      </c>
      <c r="AQ25" s="89">
        <v>96267.57</v>
      </c>
      <c r="AR25" s="89">
        <v>0.1</v>
      </c>
      <c r="AS25" s="89">
        <v>2520</v>
      </c>
      <c r="AT25" s="89">
        <v>7106.76</v>
      </c>
      <c r="AU25" s="89">
        <v>0</v>
      </c>
      <c r="AV25" s="89">
        <v>0</v>
      </c>
      <c r="AW25" s="89">
        <v>5728.3</v>
      </c>
      <c r="AX25" s="89">
        <v>1378.46</v>
      </c>
      <c r="AY25" s="87" t="s">
        <v>274</v>
      </c>
    </row>
    <row r="26" s="82" customFormat="1" ht="19.5" spans="1:51">
      <c r="A26" s="87" t="s">
        <v>459</v>
      </c>
      <c r="B26" s="87" t="s">
        <v>377</v>
      </c>
      <c r="C26" s="87" t="s">
        <v>268</v>
      </c>
      <c r="D26" s="87" t="s">
        <v>378</v>
      </c>
      <c r="E26" s="87" t="s">
        <v>378</v>
      </c>
      <c r="F26" s="87" t="s">
        <v>270</v>
      </c>
      <c r="G26" s="88" t="s">
        <v>271</v>
      </c>
      <c r="H26" s="89">
        <v>12800</v>
      </c>
      <c r="I26" s="89">
        <v>0</v>
      </c>
      <c r="J26" s="89">
        <v>0</v>
      </c>
      <c r="K26" s="89">
        <v>5000</v>
      </c>
      <c r="L26" s="89">
        <v>572.96</v>
      </c>
      <c r="M26" s="89">
        <v>146.24</v>
      </c>
      <c r="N26" s="89">
        <v>35.81</v>
      </c>
      <c r="O26" s="89">
        <v>640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0</v>
      </c>
      <c r="X26" s="87" t="s">
        <v>272</v>
      </c>
      <c r="Y26" s="89">
        <v>0</v>
      </c>
      <c r="Z26" s="87" t="s">
        <v>272</v>
      </c>
      <c r="AA26" s="87" t="s">
        <v>272</v>
      </c>
      <c r="AB26" s="87" t="s">
        <v>272</v>
      </c>
      <c r="AC26" s="89">
        <v>0</v>
      </c>
      <c r="AD26" s="89">
        <v>47709.09</v>
      </c>
      <c r="AE26" s="89">
        <v>20000</v>
      </c>
      <c r="AF26" s="89">
        <v>5580.04</v>
      </c>
      <c r="AG26" s="89">
        <v>10000</v>
      </c>
      <c r="AH26" s="89">
        <v>15000</v>
      </c>
      <c r="AI26" s="89">
        <v>5000</v>
      </c>
      <c r="AJ26" s="89">
        <v>0</v>
      </c>
      <c r="AK26" s="89">
        <v>0</v>
      </c>
      <c r="AL26" s="89">
        <v>10000</v>
      </c>
      <c r="AM26" s="89">
        <v>0</v>
      </c>
      <c r="AN26" s="89">
        <v>0</v>
      </c>
      <c r="AO26" s="87" t="s">
        <v>273</v>
      </c>
      <c r="AP26" s="89">
        <v>0</v>
      </c>
      <c r="AQ26" s="89">
        <v>0</v>
      </c>
      <c r="AR26" s="89">
        <v>0.03</v>
      </c>
      <c r="AS26" s="89">
        <v>0</v>
      </c>
      <c r="AT26" s="89">
        <v>0</v>
      </c>
      <c r="AU26" s="89">
        <v>0</v>
      </c>
      <c r="AV26" s="89">
        <v>0</v>
      </c>
      <c r="AW26" s="89">
        <v>279.57</v>
      </c>
      <c r="AX26" s="89">
        <v>0</v>
      </c>
      <c r="AY26" s="87" t="s">
        <v>274</v>
      </c>
    </row>
    <row r="27" s="82" customFormat="1" ht="19.5" spans="1:51">
      <c r="A27" s="87" t="s">
        <v>460</v>
      </c>
      <c r="B27" s="87" t="s">
        <v>321</v>
      </c>
      <c r="C27" s="87" t="s">
        <v>268</v>
      </c>
      <c r="D27" s="87" t="s">
        <v>322</v>
      </c>
      <c r="E27" s="87" t="s">
        <v>322</v>
      </c>
      <c r="F27" s="87" t="s">
        <v>270</v>
      </c>
      <c r="G27" s="88" t="s">
        <v>271</v>
      </c>
      <c r="H27" s="89">
        <v>8000</v>
      </c>
      <c r="I27" s="89">
        <v>0</v>
      </c>
      <c r="J27" s="89">
        <v>0</v>
      </c>
      <c r="K27" s="89">
        <v>5000</v>
      </c>
      <c r="L27" s="89">
        <v>572.96</v>
      </c>
      <c r="M27" s="89">
        <v>146.24</v>
      </c>
      <c r="N27" s="89">
        <v>35.81</v>
      </c>
      <c r="O27" s="89">
        <v>400</v>
      </c>
      <c r="P27" s="89">
        <v>0</v>
      </c>
      <c r="Q27" s="89">
        <v>0</v>
      </c>
      <c r="R27" s="89">
        <v>0</v>
      </c>
      <c r="S27" s="89">
        <v>0</v>
      </c>
      <c r="T27" s="89">
        <v>0</v>
      </c>
      <c r="U27" s="89">
        <v>0</v>
      </c>
      <c r="V27" s="89">
        <v>0</v>
      </c>
      <c r="W27" s="89">
        <v>0</v>
      </c>
      <c r="X27" s="87" t="s">
        <v>272</v>
      </c>
      <c r="Y27" s="89">
        <v>0</v>
      </c>
      <c r="Z27" s="87" t="s">
        <v>272</v>
      </c>
      <c r="AA27" s="87" t="s">
        <v>272</v>
      </c>
      <c r="AB27" s="87" t="s">
        <v>272</v>
      </c>
      <c r="AC27" s="89">
        <v>0</v>
      </c>
      <c r="AD27" s="89">
        <v>55567.76</v>
      </c>
      <c r="AE27" s="89">
        <v>35000</v>
      </c>
      <c r="AF27" s="89">
        <v>8085.07</v>
      </c>
      <c r="AG27" s="89">
        <v>0</v>
      </c>
      <c r="AH27" s="89">
        <v>0</v>
      </c>
      <c r="AI27" s="89">
        <v>0</v>
      </c>
      <c r="AJ27" s="89">
        <v>0</v>
      </c>
      <c r="AK27" s="89">
        <v>0</v>
      </c>
      <c r="AL27" s="89">
        <v>0</v>
      </c>
      <c r="AM27" s="89">
        <v>0</v>
      </c>
      <c r="AN27" s="89">
        <v>0</v>
      </c>
      <c r="AO27" s="87" t="s">
        <v>273</v>
      </c>
      <c r="AP27" s="89">
        <v>0</v>
      </c>
      <c r="AQ27" s="89">
        <v>12482.69</v>
      </c>
      <c r="AR27" s="89">
        <v>0.03</v>
      </c>
      <c r="AS27" s="89">
        <v>0</v>
      </c>
      <c r="AT27" s="89">
        <v>374.48</v>
      </c>
      <c r="AU27" s="89">
        <v>0</v>
      </c>
      <c r="AV27" s="89">
        <v>0</v>
      </c>
      <c r="AW27" s="89">
        <v>319.13</v>
      </c>
      <c r="AX27" s="89">
        <v>55.35</v>
      </c>
      <c r="AY27" s="87" t="s">
        <v>274</v>
      </c>
    </row>
    <row r="28" s="82" customFormat="1" ht="19.5" spans="1:51">
      <c r="A28" s="87" t="s">
        <v>461</v>
      </c>
      <c r="B28" s="87" t="s">
        <v>329</v>
      </c>
      <c r="C28" s="87" t="s">
        <v>268</v>
      </c>
      <c r="D28" s="87" t="s">
        <v>330</v>
      </c>
      <c r="E28" s="87" t="s">
        <v>330</v>
      </c>
      <c r="F28" s="87" t="s">
        <v>270</v>
      </c>
      <c r="G28" s="88" t="s">
        <v>271</v>
      </c>
      <c r="H28" s="89">
        <v>9650.02</v>
      </c>
      <c r="I28" s="89">
        <v>0</v>
      </c>
      <c r="J28" s="89">
        <v>0</v>
      </c>
      <c r="K28" s="89">
        <v>5000</v>
      </c>
      <c r="L28" s="89">
        <v>572.96</v>
      </c>
      <c r="M28" s="89">
        <v>146.24</v>
      </c>
      <c r="N28" s="89">
        <v>35.81</v>
      </c>
      <c r="O28" s="89">
        <v>480</v>
      </c>
      <c r="P28" s="89">
        <v>0</v>
      </c>
      <c r="Q28" s="89">
        <v>0</v>
      </c>
      <c r="R28" s="89">
        <v>0</v>
      </c>
      <c r="S28" s="89">
        <v>0</v>
      </c>
      <c r="T28" s="89">
        <v>0</v>
      </c>
      <c r="U28" s="89">
        <v>0</v>
      </c>
      <c r="V28" s="89">
        <v>0</v>
      </c>
      <c r="W28" s="89">
        <v>0</v>
      </c>
      <c r="X28" s="87" t="s">
        <v>272</v>
      </c>
      <c r="Y28" s="89">
        <v>0</v>
      </c>
      <c r="Z28" s="87" t="s">
        <v>272</v>
      </c>
      <c r="AA28" s="87" t="s">
        <v>272</v>
      </c>
      <c r="AB28" s="87" t="s">
        <v>272</v>
      </c>
      <c r="AC28" s="89">
        <v>0</v>
      </c>
      <c r="AD28" s="89">
        <v>67337.55</v>
      </c>
      <c r="AE28" s="89">
        <v>35000</v>
      </c>
      <c r="AF28" s="89">
        <v>8645.07</v>
      </c>
      <c r="AG28" s="89">
        <v>0</v>
      </c>
      <c r="AH28" s="89">
        <v>0</v>
      </c>
      <c r="AI28" s="89">
        <v>0</v>
      </c>
      <c r="AJ28" s="89">
        <v>0</v>
      </c>
      <c r="AK28" s="89">
        <v>0</v>
      </c>
      <c r="AL28" s="89">
        <v>0</v>
      </c>
      <c r="AM28" s="89">
        <v>0</v>
      </c>
      <c r="AN28" s="89">
        <v>0</v>
      </c>
      <c r="AO28" s="87" t="s">
        <v>273</v>
      </c>
      <c r="AP28" s="89">
        <v>0</v>
      </c>
      <c r="AQ28" s="89">
        <v>23692.48</v>
      </c>
      <c r="AR28" s="89">
        <v>0.03</v>
      </c>
      <c r="AS28" s="89">
        <v>0</v>
      </c>
      <c r="AT28" s="89">
        <v>710.77</v>
      </c>
      <c r="AU28" s="89">
        <v>0</v>
      </c>
      <c r="AV28" s="89">
        <v>0</v>
      </c>
      <c r="AW28" s="89">
        <v>608.32</v>
      </c>
      <c r="AX28" s="89">
        <v>102.45</v>
      </c>
      <c r="AY28" s="87" t="s">
        <v>274</v>
      </c>
    </row>
    <row r="29" s="82" customFormat="1" ht="19.5" spans="1:51">
      <c r="A29" s="87" t="s">
        <v>462</v>
      </c>
      <c r="B29" s="87" t="s">
        <v>375</v>
      </c>
      <c r="C29" s="87" t="s">
        <v>268</v>
      </c>
      <c r="D29" s="87" t="s">
        <v>376</v>
      </c>
      <c r="E29" s="87" t="s">
        <v>376</v>
      </c>
      <c r="F29" s="87" t="s">
        <v>270</v>
      </c>
      <c r="G29" s="88" t="s">
        <v>271</v>
      </c>
      <c r="H29" s="89">
        <v>13600</v>
      </c>
      <c r="I29" s="89">
        <v>0</v>
      </c>
      <c r="J29" s="89">
        <v>0</v>
      </c>
      <c r="K29" s="89">
        <v>5000</v>
      </c>
      <c r="L29" s="89">
        <v>572.96</v>
      </c>
      <c r="M29" s="89">
        <v>146.24</v>
      </c>
      <c r="N29" s="89">
        <v>35.81</v>
      </c>
      <c r="O29" s="89">
        <v>680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89">
        <v>0</v>
      </c>
      <c r="W29" s="89">
        <v>0</v>
      </c>
      <c r="X29" s="87" t="s">
        <v>272</v>
      </c>
      <c r="Y29" s="89">
        <v>0</v>
      </c>
      <c r="Z29" s="87" t="s">
        <v>272</v>
      </c>
      <c r="AA29" s="87" t="s">
        <v>272</v>
      </c>
      <c r="AB29" s="87" t="s">
        <v>272</v>
      </c>
      <c r="AC29" s="89">
        <v>0</v>
      </c>
      <c r="AD29" s="89">
        <v>50690.91</v>
      </c>
      <c r="AE29" s="89">
        <v>20000</v>
      </c>
      <c r="AF29" s="89">
        <v>5740.04</v>
      </c>
      <c r="AG29" s="89">
        <v>0</v>
      </c>
      <c r="AH29" s="89">
        <v>0</v>
      </c>
      <c r="AI29" s="89">
        <v>0</v>
      </c>
      <c r="AJ29" s="89">
        <v>0</v>
      </c>
      <c r="AK29" s="89">
        <v>0</v>
      </c>
      <c r="AL29" s="89">
        <v>0</v>
      </c>
      <c r="AM29" s="89">
        <v>0</v>
      </c>
      <c r="AN29" s="89">
        <v>0</v>
      </c>
      <c r="AO29" s="87" t="s">
        <v>273</v>
      </c>
      <c r="AP29" s="89">
        <v>0</v>
      </c>
      <c r="AQ29" s="89">
        <v>24950.87</v>
      </c>
      <c r="AR29" s="89">
        <v>0.03</v>
      </c>
      <c r="AS29" s="89">
        <v>0</v>
      </c>
      <c r="AT29" s="89">
        <v>748.53</v>
      </c>
      <c r="AU29" s="89">
        <v>0</v>
      </c>
      <c r="AV29" s="89">
        <v>0</v>
      </c>
      <c r="AW29" s="89">
        <v>533.58</v>
      </c>
      <c r="AX29" s="89">
        <v>214.95</v>
      </c>
      <c r="AY29" s="87" t="s">
        <v>274</v>
      </c>
    </row>
    <row r="30" s="82" customFormat="1" ht="19.5" spans="1:51">
      <c r="A30" s="87" t="s">
        <v>463</v>
      </c>
      <c r="B30" s="87" t="s">
        <v>323</v>
      </c>
      <c r="C30" s="87" t="s">
        <v>268</v>
      </c>
      <c r="D30" s="87" t="s">
        <v>324</v>
      </c>
      <c r="E30" s="87" t="s">
        <v>324</v>
      </c>
      <c r="F30" s="87" t="s">
        <v>270</v>
      </c>
      <c r="G30" s="88" t="s">
        <v>271</v>
      </c>
      <c r="H30" s="89">
        <v>9650.02</v>
      </c>
      <c r="I30" s="89">
        <v>0</v>
      </c>
      <c r="J30" s="89">
        <v>0</v>
      </c>
      <c r="K30" s="89">
        <v>5000</v>
      </c>
      <c r="L30" s="89">
        <v>572.96</v>
      </c>
      <c r="M30" s="89">
        <v>146.24</v>
      </c>
      <c r="N30" s="89">
        <v>35.81</v>
      </c>
      <c r="O30" s="89">
        <v>480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0</v>
      </c>
      <c r="X30" s="87" t="s">
        <v>272</v>
      </c>
      <c r="Y30" s="89">
        <v>0</v>
      </c>
      <c r="Z30" s="87" t="s">
        <v>272</v>
      </c>
      <c r="AA30" s="87" t="s">
        <v>272</v>
      </c>
      <c r="AB30" s="87" t="s">
        <v>272</v>
      </c>
      <c r="AC30" s="89">
        <v>0</v>
      </c>
      <c r="AD30" s="89">
        <v>67528.27</v>
      </c>
      <c r="AE30" s="89">
        <v>35000</v>
      </c>
      <c r="AF30" s="89">
        <v>8645.07</v>
      </c>
      <c r="AG30" s="89">
        <v>0</v>
      </c>
      <c r="AH30" s="89">
        <v>0</v>
      </c>
      <c r="AI30" s="89">
        <v>0</v>
      </c>
      <c r="AJ30" s="89">
        <v>0</v>
      </c>
      <c r="AK30" s="89">
        <v>0</v>
      </c>
      <c r="AL30" s="89">
        <v>0</v>
      </c>
      <c r="AM30" s="89">
        <v>0</v>
      </c>
      <c r="AN30" s="89">
        <v>0</v>
      </c>
      <c r="AO30" s="87" t="s">
        <v>273</v>
      </c>
      <c r="AP30" s="89">
        <v>0</v>
      </c>
      <c r="AQ30" s="89">
        <v>23883.2</v>
      </c>
      <c r="AR30" s="89">
        <v>0.03</v>
      </c>
      <c r="AS30" s="89">
        <v>0</v>
      </c>
      <c r="AT30" s="89">
        <v>716.5</v>
      </c>
      <c r="AU30" s="89">
        <v>0</v>
      </c>
      <c r="AV30" s="89">
        <v>0</v>
      </c>
      <c r="AW30" s="89">
        <v>614.05</v>
      </c>
      <c r="AX30" s="89">
        <v>102.45</v>
      </c>
      <c r="AY30" s="87" t="s">
        <v>274</v>
      </c>
    </row>
    <row r="31" s="82" customFormat="1" ht="19.5" spans="1:51">
      <c r="A31" s="87" t="s">
        <v>464</v>
      </c>
      <c r="B31" s="87" t="s">
        <v>349</v>
      </c>
      <c r="C31" s="87" t="s">
        <v>268</v>
      </c>
      <c r="D31" s="87" t="s">
        <v>350</v>
      </c>
      <c r="E31" s="87" t="s">
        <v>350</v>
      </c>
      <c r="F31" s="87" t="s">
        <v>270</v>
      </c>
      <c r="G31" s="88" t="s">
        <v>271</v>
      </c>
      <c r="H31" s="89">
        <v>8050.02</v>
      </c>
      <c r="I31" s="89">
        <v>0</v>
      </c>
      <c r="J31" s="89">
        <v>0</v>
      </c>
      <c r="K31" s="89">
        <v>5000</v>
      </c>
      <c r="L31" s="89">
        <v>572.96</v>
      </c>
      <c r="M31" s="89">
        <v>146.24</v>
      </c>
      <c r="N31" s="89">
        <v>35.81</v>
      </c>
      <c r="O31" s="89">
        <v>400</v>
      </c>
      <c r="P31" s="89">
        <v>0</v>
      </c>
      <c r="Q31" s="89">
        <v>0</v>
      </c>
      <c r="R31" s="89">
        <v>0</v>
      </c>
      <c r="S31" s="89">
        <v>0</v>
      </c>
      <c r="T31" s="89">
        <v>0</v>
      </c>
      <c r="U31" s="89">
        <v>0</v>
      </c>
      <c r="V31" s="89">
        <v>0</v>
      </c>
      <c r="W31" s="89">
        <v>0</v>
      </c>
      <c r="X31" s="87" t="s">
        <v>272</v>
      </c>
      <c r="Y31" s="89">
        <v>0</v>
      </c>
      <c r="Z31" s="87" t="s">
        <v>272</v>
      </c>
      <c r="AA31" s="87" t="s">
        <v>272</v>
      </c>
      <c r="AB31" s="87" t="s">
        <v>272</v>
      </c>
      <c r="AC31" s="89">
        <v>0</v>
      </c>
      <c r="AD31" s="89">
        <v>56240.74</v>
      </c>
      <c r="AE31" s="89">
        <v>35000</v>
      </c>
      <c r="AF31" s="89">
        <v>8085.07</v>
      </c>
      <c r="AG31" s="89">
        <v>0</v>
      </c>
      <c r="AH31" s="89">
        <v>0</v>
      </c>
      <c r="AI31" s="89">
        <v>0</v>
      </c>
      <c r="AJ31" s="89">
        <v>0</v>
      </c>
      <c r="AK31" s="89">
        <v>0</v>
      </c>
      <c r="AL31" s="89">
        <v>0</v>
      </c>
      <c r="AM31" s="89">
        <v>0</v>
      </c>
      <c r="AN31" s="89">
        <v>0</v>
      </c>
      <c r="AO31" s="87" t="s">
        <v>273</v>
      </c>
      <c r="AP31" s="89">
        <v>0</v>
      </c>
      <c r="AQ31" s="89">
        <v>13155.67</v>
      </c>
      <c r="AR31" s="89">
        <v>0.03</v>
      </c>
      <c r="AS31" s="89">
        <v>0</v>
      </c>
      <c r="AT31" s="89">
        <v>394.67</v>
      </c>
      <c r="AU31" s="89">
        <v>0</v>
      </c>
      <c r="AV31" s="89">
        <v>0</v>
      </c>
      <c r="AW31" s="89">
        <v>337.82</v>
      </c>
      <c r="AX31" s="89">
        <v>56.85</v>
      </c>
      <c r="AY31" s="87" t="s">
        <v>274</v>
      </c>
    </row>
    <row r="32" s="82" customFormat="1" ht="19.5" spans="1:51">
      <c r="A32" s="87" t="s">
        <v>465</v>
      </c>
      <c r="B32" s="87" t="s">
        <v>407</v>
      </c>
      <c r="C32" s="87" t="s">
        <v>268</v>
      </c>
      <c r="D32" s="87" t="s">
        <v>408</v>
      </c>
      <c r="E32" s="87" t="s">
        <v>408</v>
      </c>
      <c r="F32" s="87" t="s">
        <v>270</v>
      </c>
      <c r="G32" s="88" t="s">
        <v>271</v>
      </c>
      <c r="H32" s="89">
        <v>4857.14</v>
      </c>
      <c r="I32" s="89">
        <v>0</v>
      </c>
      <c r="J32" s="89">
        <v>0</v>
      </c>
      <c r="K32" s="89">
        <v>5000</v>
      </c>
      <c r="L32" s="89">
        <v>572.96</v>
      </c>
      <c r="M32" s="89">
        <v>146.24</v>
      </c>
      <c r="N32" s="89">
        <v>35.81</v>
      </c>
      <c r="O32" s="89">
        <v>340</v>
      </c>
      <c r="P32" s="89">
        <v>0</v>
      </c>
      <c r="Q32" s="89">
        <v>0</v>
      </c>
      <c r="R32" s="89">
        <v>0</v>
      </c>
      <c r="S32" s="89">
        <v>0</v>
      </c>
      <c r="T32" s="89">
        <v>0</v>
      </c>
      <c r="U32" s="89">
        <v>0</v>
      </c>
      <c r="V32" s="89">
        <v>0</v>
      </c>
      <c r="W32" s="89">
        <v>0</v>
      </c>
      <c r="X32" s="87" t="s">
        <v>272</v>
      </c>
      <c r="Y32" s="89">
        <v>0</v>
      </c>
      <c r="Z32" s="87" t="s">
        <v>272</v>
      </c>
      <c r="AA32" s="87" t="s">
        <v>272</v>
      </c>
      <c r="AB32" s="87" t="s">
        <v>272</v>
      </c>
      <c r="AC32" s="89">
        <v>0</v>
      </c>
      <c r="AD32" s="89">
        <v>4857.14</v>
      </c>
      <c r="AE32" s="89">
        <v>5000</v>
      </c>
      <c r="AF32" s="89">
        <v>1095.01</v>
      </c>
      <c r="AG32" s="89">
        <v>0</v>
      </c>
      <c r="AH32" s="89">
        <v>0</v>
      </c>
      <c r="AI32" s="89">
        <v>0</v>
      </c>
      <c r="AJ32" s="89">
        <v>0</v>
      </c>
      <c r="AK32" s="89">
        <v>0</v>
      </c>
      <c r="AL32" s="89">
        <v>0</v>
      </c>
      <c r="AM32" s="89">
        <v>0</v>
      </c>
      <c r="AN32" s="89">
        <v>0</v>
      </c>
      <c r="AO32" s="87" t="s">
        <v>273</v>
      </c>
      <c r="AP32" s="89">
        <v>0</v>
      </c>
      <c r="AQ32" s="89">
        <v>0</v>
      </c>
      <c r="AR32" s="89">
        <v>0.03</v>
      </c>
      <c r="AS32" s="89">
        <v>0</v>
      </c>
      <c r="AT32" s="89">
        <v>0</v>
      </c>
      <c r="AU32" s="89">
        <v>0</v>
      </c>
      <c r="AV32" s="89">
        <v>0</v>
      </c>
      <c r="AW32" s="89">
        <v>0</v>
      </c>
      <c r="AX32" s="89">
        <v>0</v>
      </c>
      <c r="AY32" s="87" t="s">
        <v>274</v>
      </c>
    </row>
    <row r="33" s="82" customFormat="1" ht="19.5" spans="1:51">
      <c r="A33" s="87" t="s">
        <v>466</v>
      </c>
      <c r="B33" s="87" t="s">
        <v>361</v>
      </c>
      <c r="C33" s="87" t="s">
        <v>268</v>
      </c>
      <c r="D33" s="87" t="s">
        <v>362</v>
      </c>
      <c r="E33" s="87" t="s">
        <v>362</v>
      </c>
      <c r="F33" s="87" t="s">
        <v>270</v>
      </c>
      <c r="G33" s="88" t="s">
        <v>271</v>
      </c>
      <c r="H33" s="89">
        <v>9650.02</v>
      </c>
      <c r="I33" s="89">
        <v>0</v>
      </c>
      <c r="J33" s="89">
        <v>0</v>
      </c>
      <c r="K33" s="89">
        <v>5000</v>
      </c>
      <c r="L33" s="89">
        <v>572.96</v>
      </c>
      <c r="M33" s="89">
        <v>146.24</v>
      </c>
      <c r="N33" s="89">
        <v>35.81</v>
      </c>
      <c r="O33" s="89">
        <v>127</v>
      </c>
      <c r="P33" s="89">
        <v>0</v>
      </c>
      <c r="Q33" s="89">
        <v>0</v>
      </c>
      <c r="R33" s="89">
        <v>0</v>
      </c>
      <c r="S33" s="89">
        <v>0</v>
      </c>
      <c r="T33" s="89">
        <v>0</v>
      </c>
      <c r="U33" s="89">
        <v>0</v>
      </c>
      <c r="V33" s="89">
        <v>0</v>
      </c>
      <c r="W33" s="89">
        <v>0</v>
      </c>
      <c r="X33" s="87" t="s">
        <v>272</v>
      </c>
      <c r="Y33" s="89">
        <v>0</v>
      </c>
      <c r="Z33" s="87" t="s">
        <v>272</v>
      </c>
      <c r="AA33" s="87" t="s">
        <v>272</v>
      </c>
      <c r="AB33" s="87" t="s">
        <v>272</v>
      </c>
      <c r="AC33" s="89">
        <v>0</v>
      </c>
      <c r="AD33" s="89">
        <v>67270.28</v>
      </c>
      <c r="AE33" s="89">
        <v>35000</v>
      </c>
      <c r="AF33" s="89">
        <v>6174.07</v>
      </c>
      <c r="AG33" s="89">
        <v>0</v>
      </c>
      <c r="AH33" s="89">
        <v>0</v>
      </c>
      <c r="AI33" s="89">
        <v>0</v>
      </c>
      <c r="AJ33" s="89">
        <v>0</v>
      </c>
      <c r="AK33" s="89">
        <v>0</v>
      </c>
      <c r="AL33" s="89">
        <v>0</v>
      </c>
      <c r="AM33" s="89">
        <v>0</v>
      </c>
      <c r="AN33" s="89">
        <v>0</v>
      </c>
      <c r="AO33" s="87" t="s">
        <v>273</v>
      </c>
      <c r="AP33" s="89">
        <v>0</v>
      </c>
      <c r="AQ33" s="89">
        <v>26096.21</v>
      </c>
      <c r="AR33" s="89">
        <v>0.03</v>
      </c>
      <c r="AS33" s="89">
        <v>0</v>
      </c>
      <c r="AT33" s="89">
        <v>782.89</v>
      </c>
      <c r="AU33" s="89">
        <v>0</v>
      </c>
      <c r="AV33" s="89">
        <v>0</v>
      </c>
      <c r="AW33" s="89">
        <v>669.85</v>
      </c>
      <c r="AX33" s="89">
        <v>113.04</v>
      </c>
      <c r="AY33" s="87" t="s">
        <v>274</v>
      </c>
    </row>
    <row r="34" s="82" customFormat="1" ht="19.5" spans="1:51">
      <c r="A34" s="87" t="s">
        <v>467</v>
      </c>
      <c r="B34" s="87" t="s">
        <v>299</v>
      </c>
      <c r="C34" s="87" t="s">
        <v>268</v>
      </c>
      <c r="D34" s="87" t="s">
        <v>300</v>
      </c>
      <c r="E34" s="87" t="s">
        <v>300</v>
      </c>
      <c r="F34" s="87" t="s">
        <v>270</v>
      </c>
      <c r="G34" s="88" t="s">
        <v>271</v>
      </c>
      <c r="H34" s="89">
        <v>16000</v>
      </c>
      <c r="I34" s="89">
        <v>0</v>
      </c>
      <c r="J34" s="89">
        <v>0</v>
      </c>
      <c r="K34" s="89">
        <v>5000</v>
      </c>
      <c r="L34" s="89">
        <v>572.96</v>
      </c>
      <c r="M34" s="89">
        <v>146.24</v>
      </c>
      <c r="N34" s="89">
        <v>35.81</v>
      </c>
      <c r="O34" s="89">
        <v>1000</v>
      </c>
      <c r="P34" s="89">
        <v>0</v>
      </c>
      <c r="Q34" s="89">
        <v>0</v>
      </c>
      <c r="R34" s="89">
        <v>0</v>
      </c>
      <c r="S34" s="89">
        <v>0</v>
      </c>
      <c r="T34" s="89">
        <v>0</v>
      </c>
      <c r="U34" s="89">
        <v>0</v>
      </c>
      <c r="V34" s="89">
        <v>0</v>
      </c>
      <c r="W34" s="89">
        <v>0</v>
      </c>
      <c r="X34" s="87" t="s">
        <v>272</v>
      </c>
      <c r="Y34" s="89">
        <v>0</v>
      </c>
      <c r="Z34" s="87" t="s">
        <v>272</v>
      </c>
      <c r="AA34" s="87" t="s">
        <v>272</v>
      </c>
      <c r="AB34" s="87" t="s">
        <v>272</v>
      </c>
      <c r="AC34" s="89">
        <v>0</v>
      </c>
      <c r="AD34" s="89">
        <v>111735.06</v>
      </c>
      <c r="AE34" s="89">
        <v>35000</v>
      </c>
      <c r="AF34" s="89">
        <v>12285.07</v>
      </c>
      <c r="AG34" s="89">
        <v>0</v>
      </c>
      <c r="AH34" s="89">
        <v>0</v>
      </c>
      <c r="AI34" s="89">
        <v>0</v>
      </c>
      <c r="AJ34" s="89">
        <v>0</v>
      </c>
      <c r="AK34" s="89">
        <v>0</v>
      </c>
      <c r="AL34" s="89">
        <v>0</v>
      </c>
      <c r="AM34" s="89">
        <v>0</v>
      </c>
      <c r="AN34" s="89">
        <v>0</v>
      </c>
      <c r="AO34" s="87" t="s">
        <v>273</v>
      </c>
      <c r="AP34" s="89">
        <v>0</v>
      </c>
      <c r="AQ34" s="89">
        <v>64449.99</v>
      </c>
      <c r="AR34" s="89">
        <v>0.1</v>
      </c>
      <c r="AS34" s="89">
        <v>2520</v>
      </c>
      <c r="AT34" s="89">
        <v>3925</v>
      </c>
      <c r="AU34" s="89">
        <v>0</v>
      </c>
      <c r="AV34" s="89">
        <v>0</v>
      </c>
      <c r="AW34" s="89">
        <v>3000.5</v>
      </c>
      <c r="AX34" s="89">
        <v>924.5</v>
      </c>
      <c r="AY34" s="87" t="s">
        <v>274</v>
      </c>
    </row>
    <row r="35" s="82" customFormat="1" ht="19.5" spans="1:51">
      <c r="A35" s="87" t="s">
        <v>468</v>
      </c>
      <c r="B35" s="87" t="s">
        <v>317</v>
      </c>
      <c r="C35" s="87" t="s">
        <v>268</v>
      </c>
      <c r="D35" s="87" t="s">
        <v>318</v>
      </c>
      <c r="E35" s="87" t="s">
        <v>318</v>
      </c>
      <c r="F35" s="87" t="s">
        <v>270</v>
      </c>
      <c r="G35" s="88" t="s">
        <v>271</v>
      </c>
      <c r="H35" s="89">
        <v>20000</v>
      </c>
      <c r="I35" s="89">
        <v>0</v>
      </c>
      <c r="J35" s="89">
        <v>0</v>
      </c>
      <c r="K35" s="89">
        <v>5000</v>
      </c>
      <c r="L35" s="89">
        <v>572.96</v>
      </c>
      <c r="M35" s="89">
        <v>146.24</v>
      </c>
      <c r="N35" s="89">
        <v>35.81</v>
      </c>
      <c r="O35" s="89">
        <v>1250</v>
      </c>
      <c r="P35" s="89">
        <v>0</v>
      </c>
      <c r="Q35" s="89">
        <v>0</v>
      </c>
      <c r="R35" s="89">
        <v>0</v>
      </c>
      <c r="S35" s="89">
        <v>0</v>
      </c>
      <c r="T35" s="89">
        <v>0</v>
      </c>
      <c r="U35" s="89">
        <v>0</v>
      </c>
      <c r="V35" s="89">
        <v>0</v>
      </c>
      <c r="W35" s="89">
        <v>0</v>
      </c>
      <c r="X35" s="87" t="s">
        <v>272</v>
      </c>
      <c r="Y35" s="89">
        <v>0</v>
      </c>
      <c r="Z35" s="87" t="s">
        <v>272</v>
      </c>
      <c r="AA35" s="87" t="s">
        <v>272</v>
      </c>
      <c r="AB35" s="87" t="s">
        <v>272</v>
      </c>
      <c r="AC35" s="89">
        <v>0</v>
      </c>
      <c r="AD35" s="89">
        <v>139995.64</v>
      </c>
      <c r="AE35" s="89">
        <v>35000</v>
      </c>
      <c r="AF35" s="89">
        <v>14035.07</v>
      </c>
      <c r="AG35" s="89">
        <v>0</v>
      </c>
      <c r="AH35" s="89">
        <v>0</v>
      </c>
      <c r="AI35" s="89">
        <v>0</v>
      </c>
      <c r="AJ35" s="89">
        <v>0</v>
      </c>
      <c r="AK35" s="89">
        <v>0</v>
      </c>
      <c r="AL35" s="89">
        <v>0</v>
      </c>
      <c r="AM35" s="89">
        <v>0</v>
      </c>
      <c r="AN35" s="89">
        <v>0</v>
      </c>
      <c r="AO35" s="87" t="s">
        <v>273</v>
      </c>
      <c r="AP35" s="89">
        <v>0</v>
      </c>
      <c r="AQ35" s="89">
        <v>90960.57</v>
      </c>
      <c r="AR35" s="89">
        <v>0.1</v>
      </c>
      <c r="AS35" s="89">
        <v>2520</v>
      </c>
      <c r="AT35" s="89">
        <v>6576.06</v>
      </c>
      <c r="AU35" s="89">
        <v>0</v>
      </c>
      <c r="AV35" s="89">
        <v>0</v>
      </c>
      <c r="AW35" s="89">
        <v>5276.56</v>
      </c>
      <c r="AX35" s="89">
        <v>1299.5</v>
      </c>
      <c r="AY35" s="87" t="s">
        <v>274</v>
      </c>
    </row>
    <row r="36" s="82" customFormat="1" ht="19.5" spans="1:51">
      <c r="A36" s="87" t="s">
        <v>469</v>
      </c>
      <c r="B36" s="87" t="s">
        <v>405</v>
      </c>
      <c r="C36" s="87" t="s">
        <v>268</v>
      </c>
      <c r="D36" s="87" t="s">
        <v>406</v>
      </c>
      <c r="E36" s="87" t="s">
        <v>406</v>
      </c>
      <c r="F36" s="87" t="s">
        <v>270</v>
      </c>
      <c r="G36" s="88" t="s">
        <v>271</v>
      </c>
      <c r="H36" s="89">
        <v>9600</v>
      </c>
      <c r="I36" s="89">
        <v>0</v>
      </c>
      <c r="J36" s="89">
        <v>0</v>
      </c>
      <c r="K36" s="89">
        <v>5000</v>
      </c>
      <c r="L36" s="89">
        <v>572.96</v>
      </c>
      <c r="M36" s="89">
        <v>146.24</v>
      </c>
      <c r="N36" s="89">
        <v>35.81</v>
      </c>
      <c r="O36" s="89">
        <v>480</v>
      </c>
      <c r="P36" s="89">
        <v>0</v>
      </c>
      <c r="Q36" s="89">
        <v>0</v>
      </c>
      <c r="R36" s="89">
        <v>0</v>
      </c>
      <c r="S36" s="89">
        <v>0</v>
      </c>
      <c r="T36" s="89">
        <v>0</v>
      </c>
      <c r="U36" s="89">
        <v>0</v>
      </c>
      <c r="V36" s="89">
        <v>0</v>
      </c>
      <c r="W36" s="89">
        <v>0</v>
      </c>
      <c r="X36" s="87" t="s">
        <v>272</v>
      </c>
      <c r="Y36" s="89">
        <v>0</v>
      </c>
      <c r="Z36" s="87" t="s">
        <v>272</v>
      </c>
      <c r="AA36" s="87" t="s">
        <v>272</v>
      </c>
      <c r="AB36" s="87" t="s">
        <v>272</v>
      </c>
      <c r="AC36" s="89">
        <v>0</v>
      </c>
      <c r="AD36" s="89">
        <v>20998.57</v>
      </c>
      <c r="AE36" s="89">
        <v>15000</v>
      </c>
      <c r="AF36" s="89">
        <v>2470.02</v>
      </c>
      <c r="AG36" s="89">
        <v>0</v>
      </c>
      <c r="AH36" s="89">
        <v>0</v>
      </c>
      <c r="AI36" s="89">
        <v>0</v>
      </c>
      <c r="AJ36" s="89">
        <v>0</v>
      </c>
      <c r="AK36" s="89">
        <v>0</v>
      </c>
      <c r="AL36" s="89">
        <v>0</v>
      </c>
      <c r="AM36" s="89">
        <v>0</v>
      </c>
      <c r="AN36" s="89">
        <v>0</v>
      </c>
      <c r="AO36" s="87" t="s">
        <v>273</v>
      </c>
      <c r="AP36" s="89">
        <v>0</v>
      </c>
      <c r="AQ36" s="89">
        <v>3528.55</v>
      </c>
      <c r="AR36" s="89">
        <v>0.03</v>
      </c>
      <c r="AS36" s="89">
        <v>0</v>
      </c>
      <c r="AT36" s="89">
        <v>105.86</v>
      </c>
      <c r="AU36" s="89">
        <v>0</v>
      </c>
      <c r="AV36" s="89">
        <v>0</v>
      </c>
      <c r="AW36" s="89">
        <v>4.91</v>
      </c>
      <c r="AX36" s="89">
        <v>100.95</v>
      </c>
      <c r="AY36" s="87" t="s">
        <v>274</v>
      </c>
    </row>
    <row r="37" s="82" customFormat="1" ht="19.5" spans="1:51">
      <c r="A37" s="87" t="s">
        <v>470</v>
      </c>
      <c r="B37" s="87" t="s">
        <v>387</v>
      </c>
      <c r="C37" s="87" t="s">
        <v>268</v>
      </c>
      <c r="D37" s="87" t="s">
        <v>388</v>
      </c>
      <c r="E37" s="87" t="s">
        <v>388</v>
      </c>
      <c r="F37" s="87" t="s">
        <v>270</v>
      </c>
      <c r="G37" s="88" t="s">
        <v>271</v>
      </c>
      <c r="H37" s="89">
        <v>9722.97</v>
      </c>
      <c r="I37" s="89">
        <v>0</v>
      </c>
      <c r="J37" s="89">
        <v>0</v>
      </c>
      <c r="K37" s="89">
        <v>5000</v>
      </c>
      <c r="L37" s="89">
        <v>572.96</v>
      </c>
      <c r="M37" s="89">
        <v>146.24</v>
      </c>
      <c r="N37" s="89">
        <v>35.81</v>
      </c>
      <c r="O37" s="89">
        <v>500</v>
      </c>
      <c r="P37" s="89">
        <v>0</v>
      </c>
      <c r="Q37" s="89">
        <v>0</v>
      </c>
      <c r="R37" s="89">
        <v>0</v>
      </c>
      <c r="S37" s="89">
        <v>0</v>
      </c>
      <c r="T37" s="89">
        <v>0</v>
      </c>
      <c r="U37" s="89">
        <v>0</v>
      </c>
      <c r="V37" s="89">
        <v>0</v>
      </c>
      <c r="W37" s="89">
        <v>0</v>
      </c>
      <c r="X37" s="87" t="s">
        <v>272</v>
      </c>
      <c r="Y37" s="89">
        <v>0</v>
      </c>
      <c r="Z37" s="87" t="s">
        <v>272</v>
      </c>
      <c r="AA37" s="87" t="s">
        <v>272</v>
      </c>
      <c r="AB37" s="87" t="s">
        <v>272</v>
      </c>
      <c r="AC37" s="89">
        <v>0</v>
      </c>
      <c r="AD37" s="89">
        <v>32352.88</v>
      </c>
      <c r="AE37" s="89">
        <v>20000</v>
      </c>
      <c r="AF37" s="89">
        <v>3765.03</v>
      </c>
      <c r="AG37" s="89">
        <v>0</v>
      </c>
      <c r="AH37" s="89">
        <v>0</v>
      </c>
      <c r="AI37" s="89">
        <v>0</v>
      </c>
      <c r="AJ37" s="89">
        <v>0</v>
      </c>
      <c r="AK37" s="89">
        <v>0</v>
      </c>
      <c r="AL37" s="89">
        <v>0</v>
      </c>
      <c r="AM37" s="89">
        <v>0</v>
      </c>
      <c r="AN37" s="89">
        <v>0</v>
      </c>
      <c r="AO37" s="87" t="s">
        <v>273</v>
      </c>
      <c r="AP37" s="89">
        <v>0</v>
      </c>
      <c r="AQ37" s="89">
        <v>8587.85</v>
      </c>
      <c r="AR37" s="89">
        <v>0.03</v>
      </c>
      <c r="AS37" s="89">
        <v>0</v>
      </c>
      <c r="AT37" s="89">
        <v>257.64</v>
      </c>
      <c r="AU37" s="89">
        <v>0</v>
      </c>
      <c r="AV37" s="89">
        <v>0</v>
      </c>
      <c r="AW37" s="89">
        <v>153.6</v>
      </c>
      <c r="AX37" s="89">
        <v>104.04</v>
      </c>
      <c r="AY37" s="87" t="s">
        <v>274</v>
      </c>
    </row>
    <row r="38" s="82" customFormat="1" ht="19.5" spans="1:51">
      <c r="A38" s="87" t="s">
        <v>471</v>
      </c>
      <c r="B38" s="87" t="s">
        <v>401</v>
      </c>
      <c r="C38" s="87" t="s">
        <v>268</v>
      </c>
      <c r="D38" s="87" t="s">
        <v>402</v>
      </c>
      <c r="E38" s="87" t="s">
        <v>402</v>
      </c>
      <c r="F38" s="87" t="s">
        <v>270</v>
      </c>
      <c r="G38" s="88" t="s">
        <v>271</v>
      </c>
      <c r="H38" s="89">
        <v>8000</v>
      </c>
      <c r="I38" s="89">
        <v>0</v>
      </c>
      <c r="J38" s="89">
        <v>0</v>
      </c>
      <c r="K38" s="89">
        <v>5000</v>
      </c>
      <c r="L38" s="89">
        <v>572.96</v>
      </c>
      <c r="M38" s="89">
        <v>146.24</v>
      </c>
      <c r="N38" s="89">
        <v>35.81</v>
      </c>
      <c r="O38" s="89">
        <v>400</v>
      </c>
      <c r="P38" s="89">
        <v>0</v>
      </c>
      <c r="Q38" s="89">
        <v>0</v>
      </c>
      <c r="R38" s="89">
        <v>0</v>
      </c>
      <c r="S38" s="89">
        <v>0</v>
      </c>
      <c r="T38" s="89">
        <v>0</v>
      </c>
      <c r="U38" s="89">
        <v>0</v>
      </c>
      <c r="V38" s="89">
        <v>0</v>
      </c>
      <c r="W38" s="89">
        <v>0</v>
      </c>
      <c r="X38" s="87" t="s">
        <v>272</v>
      </c>
      <c r="Y38" s="89">
        <v>0</v>
      </c>
      <c r="Z38" s="87" t="s">
        <v>272</v>
      </c>
      <c r="AA38" s="87" t="s">
        <v>272</v>
      </c>
      <c r="AB38" s="87" t="s">
        <v>272</v>
      </c>
      <c r="AC38" s="89">
        <v>0</v>
      </c>
      <c r="AD38" s="89">
        <v>21205.26</v>
      </c>
      <c r="AE38" s="89">
        <v>15000</v>
      </c>
      <c r="AF38" s="89">
        <v>3465.03</v>
      </c>
      <c r="AG38" s="89">
        <v>0</v>
      </c>
      <c r="AH38" s="89">
        <v>0</v>
      </c>
      <c r="AI38" s="89">
        <v>0</v>
      </c>
      <c r="AJ38" s="89">
        <v>0</v>
      </c>
      <c r="AK38" s="89">
        <v>0</v>
      </c>
      <c r="AL38" s="89">
        <v>0</v>
      </c>
      <c r="AM38" s="89">
        <v>0</v>
      </c>
      <c r="AN38" s="89">
        <v>0</v>
      </c>
      <c r="AO38" s="87" t="s">
        <v>273</v>
      </c>
      <c r="AP38" s="89">
        <v>0</v>
      </c>
      <c r="AQ38" s="89">
        <v>2740.23</v>
      </c>
      <c r="AR38" s="89">
        <v>0.03</v>
      </c>
      <c r="AS38" s="89">
        <v>0</v>
      </c>
      <c r="AT38" s="89">
        <v>82.21</v>
      </c>
      <c r="AU38" s="89">
        <v>0</v>
      </c>
      <c r="AV38" s="89">
        <v>0</v>
      </c>
      <c r="AW38" s="89">
        <v>26.86</v>
      </c>
      <c r="AX38" s="89">
        <v>55.35</v>
      </c>
      <c r="AY38" s="87" t="s">
        <v>274</v>
      </c>
    </row>
    <row r="39" s="82" customFormat="1" ht="19.5" spans="1:51">
      <c r="A39" s="87" t="s">
        <v>472</v>
      </c>
      <c r="B39" s="87" t="s">
        <v>351</v>
      </c>
      <c r="C39" s="87" t="s">
        <v>268</v>
      </c>
      <c r="D39" s="87" t="s">
        <v>352</v>
      </c>
      <c r="E39" s="87" t="s">
        <v>352</v>
      </c>
      <c r="F39" s="87" t="s">
        <v>270</v>
      </c>
      <c r="G39" s="88" t="s">
        <v>271</v>
      </c>
      <c r="H39" s="89">
        <v>10400</v>
      </c>
      <c r="I39" s="89">
        <v>0</v>
      </c>
      <c r="J39" s="89">
        <v>0</v>
      </c>
      <c r="K39" s="89">
        <v>5000</v>
      </c>
      <c r="L39" s="89">
        <v>572.96</v>
      </c>
      <c r="M39" s="89">
        <v>146.24</v>
      </c>
      <c r="N39" s="89">
        <v>35.81</v>
      </c>
      <c r="O39" s="89">
        <v>520</v>
      </c>
      <c r="P39" s="89">
        <v>0</v>
      </c>
      <c r="Q39" s="89">
        <v>0</v>
      </c>
      <c r="R39" s="89">
        <v>0</v>
      </c>
      <c r="S39" s="89">
        <v>0</v>
      </c>
      <c r="T39" s="89">
        <v>0</v>
      </c>
      <c r="U39" s="89">
        <v>0</v>
      </c>
      <c r="V39" s="89">
        <v>0</v>
      </c>
      <c r="W39" s="89">
        <v>0</v>
      </c>
      <c r="X39" s="87" t="s">
        <v>272</v>
      </c>
      <c r="Y39" s="89">
        <v>0</v>
      </c>
      <c r="Z39" s="87" t="s">
        <v>272</v>
      </c>
      <c r="AA39" s="87" t="s">
        <v>272</v>
      </c>
      <c r="AB39" s="87" t="s">
        <v>272</v>
      </c>
      <c r="AC39" s="89">
        <v>0</v>
      </c>
      <c r="AD39" s="89">
        <v>72887.53</v>
      </c>
      <c r="AE39" s="89">
        <v>35000</v>
      </c>
      <c r="AF39" s="89">
        <v>8925.07</v>
      </c>
      <c r="AG39" s="89">
        <v>0</v>
      </c>
      <c r="AH39" s="89">
        <v>0</v>
      </c>
      <c r="AI39" s="89">
        <v>0</v>
      </c>
      <c r="AJ39" s="89">
        <v>0</v>
      </c>
      <c r="AK39" s="89">
        <v>0</v>
      </c>
      <c r="AL39" s="89">
        <v>0</v>
      </c>
      <c r="AM39" s="89">
        <v>0</v>
      </c>
      <c r="AN39" s="89">
        <v>0</v>
      </c>
      <c r="AO39" s="87" t="s">
        <v>273</v>
      </c>
      <c r="AP39" s="89">
        <v>0</v>
      </c>
      <c r="AQ39" s="89">
        <v>28962.46</v>
      </c>
      <c r="AR39" s="89">
        <v>0.03</v>
      </c>
      <c r="AS39" s="89">
        <v>0</v>
      </c>
      <c r="AT39" s="89">
        <v>868.87</v>
      </c>
      <c r="AU39" s="89">
        <v>0</v>
      </c>
      <c r="AV39" s="89">
        <v>0</v>
      </c>
      <c r="AW39" s="89">
        <v>745.12</v>
      </c>
      <c r="AX39" s="89">
        <v>123.75</v>
      </c>
      <c r="AY39" s="87" t="s">
        <v>274</v>
      </c>
    </row>
    <row r="40" s="82" customFormat="1" ht="19.5" spans="1:51">
      <c r="A40" s="87" t="s">
        <v>473</v>
      </c>
      <c r="B40" s="87" t="s">
        <v>281</v>
      </c>
      <c r="C40" s="87" t="s">
        <v>268</v>
      </c>
      <c r="D40" s="87" t="s">
        <v>282</v>
      </c>
      <c r="E40" s="87" t="s">
        <v>282</v>
      </c>
      <c r="F40" s="87" t="s">
        <v>270</v>
      </c>
      <c r="G40" s="88" t="s">
        <v>271</v>
      </c>
      <c r="H40" s="89">
        <v>8074.02</v>
      </c>
      <c r="I40" s="89">
        <v>0</v>
      </c>
      <c r="J40" s="89">
        <v>0</v>
      </c>
      <c r="K40" s="89">
        <v>5000</v>
      </c>
      <c r="L40" s="89">
        <v>572.96</v>
      </c>
      <c r="M40" s="89">
        <v>146.24</v>
      </c>
      <c r="N40" s="89">
        <v>35.81</v>
      </c>
      <c r="O40" s="89">
        <v>409</v>
      </c>
      <c r="P40" s="89">
        <v>0</v>
      </c>
      <c r="Q40" s="89">
        <v>0</v>
      </c>
      <c r="R40" s="89">
        <v>0</v>
      </c>
      <c r="S40" s="89">
        <v>0</v>
      </c>
      <c r="T40" s="89">
        <v>0</v>
      </c>
      <c r="U40" s="89">
        <v>0</v>
      </c>
      <c r="V40" s="89">
        <v>0</v>
      </c>
      <c r="W40" s="89">
        <v>0</v>
      </c>
      <c r="X40" s="87" t="s">
        <v>272</v>
      </c>
      <c r="Y40" s="89">
        <v>0</v>
      </c>
      <c r="Z40" s="87" t="s">
        <v>272</v>
      </c>
      <c r="AA40" s="87" t="s">
        <v>272</v>
      </c>
      <c r="AB40" s="87" t="s">
        <v>272</v>
      </c>
      <c r="AC40" s="89">
        <v>0</v>
      </c>
      <c r="AD40" s="89">
        <v>66881.14</v>
      </c>
      <c r="AE40" s="89">
        <v>35000</v>
      </c>
      <c r="AF40" s="89">
        <v>8148.07</v>
      </c>
      <c r="AG40" s="89">
        <v>0</v>
      </c>
      <c r="AH40" s="89">
        <v>0</v>
      </c>
      <c r="AI40" s="89">
        <v>0</v>
      </c>
      <c r="AJ40" s="89">
        <v>0</v>
      </c>
      <c r="AK40" s="89">
        <v>0</v>
      </c>
      <c r="AL40" s="89">
        <v>0</v>
      </c>
      <c r="AM40" s="89">
        <v>0</v>
      </c>
      <c r="AN40" s="89">
        <v>0</v>
      </c>
      <c r="AO40" s="87" t="s">
        <v>273</v>
      </c>
      <c r="AP40" s="89">
        <v>0</v>
      </c>
      <c r="AQ40" s="89">
        <v>23733.07</v>
      </c>
      <c r="AR40" s="89">
        <v>0.03</v>
      </c>
      <c r="AS40" s="89">
        <v>0</v>
      </c>
      <c r="AT40" s="89">
        <v>711.99</v>
      </c>
      <c r="AU40" s="89">
        <v>0</v>
      </c>
      <c r="AV40" s="89">
        <v>0</v>
      </c>
      <c r="AW40" s="89">
        <v>654.69</v>
      </c>
      <c r="AX40" s="89">
        <v>57.3</v>
      </c>
      <c r="AY40" s="87" t="s">
        <v>274</v>
      </c>
    </row>
    <row r="41" s="82" customFormat="1" ht="19.5" spans="1:51">
      <c r="A41" s="87" t="s">
        <v>474</v>
      </c>
      <c r="B41" s="87" t="s">
        <v>475</v>
      </c>
      <c r="C41" s="87" t="s">
        <v>268</v>
      </c>
      <c r="D41" s="87" t="s">
        <v>476</v>
      </c>
      <c r="E41" s="87" t="s">
        <v>476</v>
      </c>
      <c r="F41" s="87" t="s">
        <v>270</v>
      </c>
      <c r="G41" s="88" t="s">
        <v>271</v>
      </c>
      <c r="H41" s="89">
        <v>3809.52</v>
      </c>
      <c r="I41" s="89">
        <v>0</v>
      </c>
      <c r="J41" s="89">
        <v>0</v>
      </c>
      <c r="K41" s="89">
        <v>5000</v>
      </c>
      <c r="L41" s="89">
        <v>0</v>
      </c>
      <c r="M41" s="89">
        <v>0</v>
      </c>
      <c r="N41" s="89">
        <v>0</v>
      </c>
      <c r="O41" s="89">
        <v>0</v>
      </c>
      <c r="P41" s="89">
        <v>0</v>
      </c>
      <c r="Q41" s="89">
        <v>0</v>
      </c>
      <c r="R41" s="89">
        <v>0</v>
      </c>
      <c r="S41" s="89">
        <v>0</v>
      </c>
      <c r="T41" s="89">
        <v>0</v>
      </c>
      <c r="U41" s="89">
        <v>0</v>
      </c>
      <c r="V41" s="89">
        <v>0</v>
      </c>
      <c r="W41" s="89">
        <v>0</v>
      </c>
      <c r="X41" s="87" t="s">
        <v>272</v>
      </c>
      <c r="Y41" s="89">
        <v>0</v>
      </c>
      <c r="Z41" s="87" t="s">
        <v>272</v>
      </c>
      <c r="AA41" s="87" t="s">
        <v>272</v>
      </c>
      <c r="AB41" s="87" t="s">
        <v>272</v>
      </c>
      <c r="AC41" s="89">
        <v>0</v>
      </c>
      <c r="AD41" s="89">
        <v>8020.05</v>
      </c>
      <c r="AE41" s="89">
        <v>10000</v>
      </c>
      <c r="AF41" s="89">
        <v>0</v>
      </c>
      <c r="AG41" s="89">
        <v>0</v>
      </c>
      <c r="AH41" s="89">
        <v>0</v>
      </c>
      <c r="AI41" s="89">
        <v>0</v>
      </c>
      <c r="AJ41" s="89">
        <v>0</v>
      </c>
      <c r="AK41" s="89">
        <v>0</v>
      </c>
      <c r="AL41" s="89">
        <v>0</v>
      </c>
      <c r="AM41" s="89">
        <v>0</v>
      </c>
      <c r="AN41" s="89">
        <v>0</v>
      </c>
      <c r="AO41" s="87" t="s">
        <v>273</v>
      </c>
      <c r="AP41" s="89">
        <v>0</v>
      </c>
      <c r="AQ41" s="89">
        <v>0</v>
      </c>
      <c r="AR41" s="89">
        <v>0.03</v>
      </c>
      <c r="AS41" s="89">
        <v>0</v>
      </c>
      <c r="AT41" s="89">
        <v>0</v>
      </c>
      <c r="AU41" s="89">
        <v>0</v>
      </c>
      <c r="AV41" s="89">
        <v>0</v>
      </c>
      <c r="AW41" s="89">
        <v>0</v>
      </c>
      <c r="AX41" s="89">
        <v>0</v>
      </c>
      <c r="AY41" s="87" t="s">
        <v>274</v>
      </c>
    </row>
    <row r="42" s="82" customFormat="1" ht="19.5" spans="1:51">
      <c r="A42" s="87" t="s">
        <v>477</v>
      </c>
      <c r="B42" s="87" t="s">
        <v>385</v>
      </c>
      <c r="C42" s="87" t="s">
        <v>268</v>
      </c>
      <c r="D42" s="87" t="s">
        <v>386</v>
      </c>
      <c r="E42" s="87" t="s">
        <v>386</v>
      </c>
      <c r="F42" s="87" t="s">
        <v>270</v>
      </c>
      <c r="G42" s="88" t="s">
        <v>271</v>
      </c>
      <c r="H42" s="89">
        <v>18798.13</v>
      </c>
      <c r="I42" s="89">
        <v>0</v>
      </c>
      <c r="J42" s="89">
        <v>0</v>
      </c>
      <c r="K42" s="89">
        <v>5000</v>
      </c>
      <c r="L42" s="89">
        <v>572.96</v>
      </c>
      <c r="M42" s="89">
        <v>146.24</v>
      </c>
      <c r="N42" s="89">
        <v>35.81</v>
      </c>
      <c r="O42" s="89">
        <v>940</v>
      </c>
      <c r="P42" s="89">
        <v>0</v>
      </c>
      <c r="Q42" s="89">
        <v>0</v>
      </c>
      <c r="R42" s="89">
        <v>0</v>
      </c>
      <c r="S42" s="89">
        <v>0</v>
      </c>
      <c r="T42" s="89">
        <v>0</v>
      </c>
      <c r="U42" s="89">
        <v>0</v>
      </c>
      <c r="V42" s="89">
        <v>0</v>
      </c>
      <c r="W42" s="89">
        <v>0</v>
      </c>
      <c r="X42" s="87" t="s">
        <v>272</v>
      </c>
      <c r="Y42" s="89">
        <v>0</v>
      </c>
      <c r="Z42" s="87" t="s">
        <v>272</v>
      </c>
      <c r="AA42" s="87" t="s">
        <v>272</v>
      </c>
      <c r="AB42" s="87" t="s">
        <v>272</v>
      </c>
      <c r="AC42" s="89">
        <v>0</v>
      </c>
      <c r="AD42" s="89">
        <v>62378.08</v>
      </c>
      <c r="AE42" s="89">
        <v>20000</v>
      </c>
      <c r="AF42" s="89">
        <v>5085.03</v>
      </c>
      <c r="AG42" s="89">
        <v>0</v>
      </c>
      <c r="AH42" s="89">
        <v>0</v>
      </c>
      <c r="AI42" s="89">
        <v>0</v>
      </c>
      <c r="AJ42" s="89">
        <v>0</v>
      </c>
      <c r="AK42" s="89">
        <v>0</v>
      </c>
      <c r="AL42" s="89">
        <v>0</v>
      </c>
      <c r="AM42" s="89">
        <v>0</v>
      </c>
      <c r="AN42" s="89">
        <v>0</v>
      </c>
      <c r="AO42" s="87" t="s">
        <v>273</v>
      </c>
      <c r="AP42" s="89">
        <v>0</v>
      </c>
      <c r="AQ42" s="89">
        <v>37293.05</v>
      </c>
      <c r="AR42" s="89">
        <v>0.1</v>
      </c>
      <c r="AS42" s="89">
        <v>2520</v>
      </c>
      <c r="AT42" s="89">
        <v>1209.31</v>
      </c>
      <c r="AU42" s="89">
        <v>0</v>
      </c>
      <c r="AV42" s="89">
        <v>0</v>
      </c>
      <c r="AW42" s="89">
        <v>755.7</v>
      </c>
      <c r="AX42" s="89">
        <v>453.61</v>
      </c>
      <c r="AY42" s="87" t="s">
        <v>274</v>
      </c>
    </row>
    <row r="43" s="82" customFormat="1" ht="19.5" spans="1:51">
      <c r="A43" s="87" t="s">
        <v>478</v>
      </c>
      <c r="B43" s="87" t="s">
        <v>381</v>
      </c>
      <c r="C43" s="87" t="s">
        <v>268</v>
      </c>
      <c r="D43" s="87" t="s">
        <v>382</v>
      </c>
      <c r="E43" s="87" t="s">
        <v>382</v>
      </c>
      <c r="F43" s="87" t="s">
        <v>270</v>
      </c>
      <c r="G43" s="88" t="s">
        <v>271</v>
      </c>
      <c r="H43" s="89">
        <v>12000</v>
      </c>
      <c r="I43" s="89">
        <v>0</v>
      </c>
      <c r="J43" s="89">
        <v>0</v>
      </c>
      <c r="K43" s="89">
        <v>5000</v>
      </c>
      <c r="L43" s="89">
        <v>572.96</v>
      </c>
      <c r="M43" s="89">
        <v>146.24</v>
      </c>
      <c r="N43" s="89">
        <v>35.81</v>
      </c>
      <c r="O43" s="89">
        <v>600</v>
      </c>
      <c r="P43" s="89">
        <v>0</v>
      </c>
      <c r="Q43" s="89">
        <v>0</v>
      </c>
      <c r="R43" s="89">
        <v>0</v>
      </c>
      <c r="S43" s="89">
        <v>0</v>
      </c>
      <c r="T43" s="89">
        <v>0</v>
      </c>
      <c r="U43" s="89">
        <v>0</v>
      </c>
      <c r="V43" s="89">
        <v>0</v>
      </c>
      <c r="W43" s="89">
        <v>0</v>
      </c>
      <c r="X43" s="87" t="s">
        <v>272</v>
      </c>
      <c r="Y43" s="89">
        <v>0</v>
      </c>
      <c r="Z43" s="87" t="s">
        <v>272</v>
      </c>
      <c r="AA43" s="87" t="s">
        <v>272</v>
      </c>
      <c r="AB43" s="87" t="s">
        <v>272</v>
      </c>
      <c r="AC43" s="89">
        <v>0</v>
      </c>
      <c r="AD43" s="89">
        <v>41454.55</v>
      </c>
      <c r="AE43" s="89">
        <v>20000</v>
      </c>
      <c r="AF43" s="89">
        <v>4065.03</v>
      </c>
      <c r="AG43" s="89">
        <v>0</v>
      </c>
      <c r="AH43" s="89">
        <v>0</v>
      </c>
      <c r="AI43" s="89">
        <v>0</v>
      </c>
      <c r="AJ43" s="89">
        <v>7500</v>
      </c>
      <c r="AK43" s="89">
        <v>0</v>
      </c>
      <c r="AL43" s="89">
        <v>10000</v>
      </c>
      <c r="AM43" s="89">
        <v>0</v>
      </c>
      <c r="AN43" s="89">
        <v>0</v>
      </c>
      <c r="AO43" s="87" t="s">
        <v>273</v>
      </c>
      <c r="AP43" s="89">
        <v>0</v>
      </c>
      <c r="AQ43" s="89">
        <v>0</v>
      </c>
      <c r="AR43" s="89">
        <v>0.03</v>
      </c>
      <c r="AS43" s="89">
        <v>0</v>
      </c>
      <c r="AT43" s="89">
        <v>0</v>
      </c>
      <c r="AU43" s="89">
        <v>0</v>
      </c>
      <c r="AV43" s="89">
        <v>0</v>
      </c>
      <c r="AW43" s="89">
        <v>13.64</v>
      </c>
      <c r="AX43" s="89">
        <v>0</v>
      </c>
      <c r="AY43" s="87" t="s">
        <v>274</v>
      </c>
    </row>
    <row r="44" s="82" customFormat="1" ht="19.5" spans="1:51">
      <c r="A44" s="87" t="s">
        <v>479</v>
      </c>
      <c r="B44" s="87" t="s">
        <v>339</v>
      </c>
      <c r="C44" s="87" t="s">
        <v>268</v>
      </c>
      <c r="D44" s="87" t="s">
        <v>340</v>
      </c>
      <c r="E44" s="87" t="s">
        <v>340</v>
      </c>
      <c r="F44" s="87" t="s">
        <v>270</v>
      </c>
      <c r="G44" s="88" t="s">
        <v>271</v>
      </c>
      <c r="H44" s="89">
        <v>8609.52</v>
      </c>
      <c r="I44" s="89">
        <v>0</v>
      </c>
      <c r="J44" s="89">
        <v>0</v>
      </c>
      <c r="K44" s="89">
        <v>5000</v>
      </c>
      <c r="L44" s="89">
        <v>572.96</v>
      </c>
      <c r="M44" s="89">
        <v>146.24</v>
      </c>
      <c r="N44" s="89">
        <v>35.81</v>
      </c>
      <c r="O44" s="89">
        <v>400</v>
      </c>
      <c r="P44" s="89">
        <v>0</v>
      </c>
      <c r="Q44" s="89">
        <v>0</v>
      </c>
      <c r="R44" s="89">
        <v>0</v>
      </c>
      <c r="S44" s="89">
        <v>0</v>
      </c>
      <c r="T44" s="89">
        <v>0</v>
      </c>
      <c r="U44" s="89">
        <v>0</v>
      </c>
      <c r="V44" s="89">
        <v>0</v>
      </c>
      <c r="W44" s="89">
        <v>0</v>
      </c>
      <c r="X44" s="87" t="s">
        <v>272</v>
      </c>
      <c r="Y44" s="89">
        <v>0</v>
      </c>
      <c r="Z44" s="87" t="s">
        <v>272</v>
      </c>
      <c r="AA44" s="87" t="s">
        <v>272</v>
      </c>
      <c r="AB44" s="87" t="s">
        <v>272</v>
      </c>
      <c r="AC44" s="89">
        <v>0</v>
      </c>
      <c r="AD44" s="89">
        <v>56589.68</v>
      </c>
      <c r="AE44" s="89">
        <v>35000</v>
      </c>
      <c r="AF44" s="89">
        <v>8085.07</v>
      </c>
      <c r="AG44" s="89">
        <v>0</v>
      </c>
      <c r="AH44" s="89">
        <v>0</v>
      </c>
      <c r="AI44" s="89">
        <v>0</v>
      </c>
      <c r="AJ44" s="89">
        <v>0</v>
      </c>
      <c r="AK44" s="89">
        <v>0</v>
      </c>
      <c r="AL44" s="89">
        <v>0</v>
      </c>
      <c r="AM44" s="89">
        <v>0</v>
      </c>
      <c r="AN44" s="89">
        <v>0</v>
      </c>
      <c r="AO44" s="87" t="s">
        <v>273</v>
      </c>
      <c r="AP44" s="89">
        <v>0</v>
      </c>
      <c r="AQ44" s="89">
        <v>13504.61</v>
      </c>
      <c r="AR44" s="89">
        <v>0.03</v>
      </c>
      <c r="AS44" s="89">
        <v>0</v>
      </c>
      <c r="AT44" s="89">
        <v>405.14</v>
      </c>
      <c r="AU44" s="89">
        <v>0</v>
      </c>
      <c r="AV44" s="89">
        <v>0</v>
      </c>
      <c r="AW44" s="89">
        <v>331.5</v>
      </c>
      <c r="AX44" s="89">
        <v>73.64</v>
      </c>
      <c r="AY44" s="87" t="s">
        <v>274</v>
      </c>
    </row>
    <row r="45" s="82" customFormat="1" ht="19.5" spans="1:51">
      <c r="A45" s="87" t="s">
        <v>480</v>
      </c>
      <c r="B45" s="87" t="s">
        <v>279</v>
      </c>
      <c r="C45" s="87" t="s">
        <v>268</v>
      </c>
      <c r="D45" s="87" t="s">
        <v>280</v>
      </c>
      <c r="E45" s="87" t="s">
        <v>280</v>
      </c>
      <c r="F45" s="87" t="s">
        <v>270</v>
      </c>
      <c r="G45" s="88" t="s">
        <v>271</v>
      </c>
      <c r="H45" s="89">
        <v>4045.01</v>
      </c>
      <c r="I45" s="89">
        <v>0</v>
      </c>
      <c r="J45" s="89">
        <v>4045.01</v>
      </c>
      <c r="K45" s="89">
        <v>5000</v>
      </c>
      <c r="L45" s="89">
        <v>572.96</v>
      </c>
      <c r="M45" s="89">
        <v>146.24</v>
      </c>
      <c r="N45" s="89">
        <v>35.81</v>
      </c>
      <c r="O45" s="89">
        <v>750</v>
      </c>
      <c r="P45" s="89">
        <v>0</v>
      </c>
      <c r="Q45" s="89">
        <v>0</v>
      </c>
      <c r="R45" s="89">
        <v>0</v>
      </c>
      <c r="S45" s="89">
        <v>0</v>
      </c>
      <c r="T45" s="89">
        <v>0</v>
      </c>
      <c r="U45" s="89">
        <v>0</v>
      </c>
      <c r="V45" s="89">
        <v>0</v>
      </c>
      <c r="W45" s="89">
        <v>0</v>
      </c>
      <c r="X45" s="87" t="s">
        <v>272</v>
      </c>
      <c r="Y45" s="89">
        <v>0</v>
      </c>
      <c r="Z45" s="87" t="s">
        <v>272</v>
      </c>
      <c r="AA45" s="87" t="s">
        <v>272</v>
      </c>
      <c r="AB45" s="87" t="s">
        <v>272</v>
      </c>
      <c r="AC45" s="89">
        <v>0</v>
      </c>
      <c r="AD45" s="89">
        <v>39781.1</v>
      </c>
      <c r="AE45" s="89">
        <v>35000</v>
      </c>
      <c r="AF45" s="89">
        <v>10535.07</v>
      </c>
      <c r="AG45" s="89">
        <v>0</v>
      </c>
      <c r="AH45" s="89">
        <v>0</v>
      </c>
      <c r="AI45" s="89">
        <v>0</v>
      </c>
      <c r="AJ45" s="89">
        <v>0</v>
      </c>
      <c r="AK45" s="89">
        <v>0</v>
      </c>
      <c r="AL45" s="89">
        <v>0</v>
      </c>
      <c r="AM45" s="89">
        <v>0</v>
      </c>
      <c r="AN45" s="89">
        <v>0</v>
      </c>
      <c r="AO45" s="87" t="s">
        <v>273</v>
      </c>
      <c r="AP45" s="89">
        <v>0</v>
      </c>
      <c r="AQ45" s="89">
        <v>0</v>
      </c>
      <c r="AR45" s="89">
        <v>0.03</v>
      </c>
      <c r="AS45" s="89">
        <v>0</v>
      </c>
      <c r="AT45" s="89">
        <v>0</v>
      </c>
      <c r="AU45" s="89">
        <v>0</v>
      </c>
      <c r="AV45" s="89">
        <v>0</v>
      </c>
      <c r="AW45" s="89">
        <v>518.97</v>
      </c>
      <c r="AX45" s="89">
        <v>0</v>
      </c>
      <c r="AY45" s="87" t="s">
        <v>274</v>
      </c>
    </row>
    <row r="46" s="82" customFormat="1" ht="19.5" spans="1:51">
      <c r="A46" s="87" t="s">
        <v>481</v>
      </c>
      <c r="B46" s="87" t="s">
        <v>297</v>
      </c>
      <c r="C46" s="87" t="s">
        <v>268</v>
      </c>
      <c r="D46" s="87" t="s">
        <v>298</v>
      </c>
      <c r="E46" s="87" t="s">
        <v>298</v>
      </c>
      <c r="F46" s="87" t="s">
        <v>270</v>
      </c>
      <c r="G46" s="88" t="s">
        <v>271</v>
      </c>
      <c r="H46" s="89">
        <v>13650.02</v>
      </c>
      <c r="I46" s="89">
        <v>0</v>
      </c>
      <c r="J46" s="89">
        <v>0</v>
      </c>
      <c r="K46" s="89">
        <v>5000</v>
      </c>
      <c r="L46" s="89">
        <v>572.96</v>
      </c>
      <c r="M46" s="89">
        <v>146.24</v>
      </c>
      <c r="N46" s="89">
        <v>35.81</v>
      </c>
      <c r="O46" s="89">
        <v>850</v>
      </c>
      <c r="P46" s="89">
        <v>0</v>
      </c>
      <c r="Q46" s="89">
        <v>0</v>
      </c>
      <c r="R46" s="89">
        <v>0</v>
      </c>
      <c r="S46" s="89">
        <v>0</v>
      </c>
      <c r="T46" s="89">
        <v>0</v>
      </c>
      <c r="U46" s="89">
        <v>0</v>
      </c>
      <c r="V46" s="89">
        <v>0</v>
      </c>
      <c r="W46" s="89">
        <v>0</v>
      </c>
      <c r="X46" s="87" t="s">
        <v>272</v>
      </c>
      <c r="Y46" s="89">
        <v>0</v>
      </c>
      <c r="Z46" s="87" t="s">
        <v>272</v>
      </c>
      <c r="AA46" s="87" t="s">
        <v>272</v>
      </c>
      <c r="AB46" s="87" t="s">
        <v>272</v>
      </c>
      <c r="AC46" s="89">
        <v>0</v>
      </c>
      <c r="AD46" s="89">
        <v>95190.02</v>
      </c>
      <c r="AE46" s="89">
        <v>35000</v>
      </c>
      <c r="AF46" s="89">
        <v>11235.07</v>
      </c>
      <c r="AG46" s="89">
        <v>0</v>
      </c>
      <c r="AH46" s="89">
        <v>0</v>
      </c>
      <c r="AI46" s="89">
        <v>0</v>
      </c>
      <c r="AJ46" s="89">
        <v>0</v>
      </c>
      <c r="AK46" s="89">
        <v>0</v>
      </c>
      <c r="AL46" s="89">
        <v>0</v>
      </c>
      <c r="AM46" s="89">
        <v>0</v>
      </c>
      <c r="AN46" s="89">
        <v>0</v>
      </c>
      <c r="AO46" s="87" t="s">
        <v>273</v>
      </c>
      <c r="AP46" s="89">
        <v>0</v>
      </c>
      <c r="AQ46" s="89">
        <v>48954.95</v>
      </c>
      <c r="AR46" s="89">
        <v>0.1</v>
      </c>
      <c r="AS46" s="89">
        <v>2520</v>
      </c>
      <c r="AT46" s="89">
        <v>2375.5</v>
      </c>
      <c r="AU46" s="89">
        <v>0</v>
      </c>
      <c r="AV46" s="89">
        <v>0</v>
      </c>
      <c r="AW46" s="89">
        <v>1670.99</v>
      </c>
      <c r="AX46" s="89">
        <v>704.51</v>
      </c>
      <c r="AY46" s="87" t="s">
        <v>274</v>
      </c>
    </row>
    <row r="47" s="82" customFormat="1" ht="19.5" spans="1:51">
      <c r="A47" s="87" t="s">
        <v>482</v>
      </c>
      <c r="B47" s="87" t="s">
        <v>357</v>
      </c>
      <c r="C47" s="87" t="s">
        <v>268</v>
      </c>
      <c r="D47" s="87" t="s">
        <v>358</v>
      </c>
      <c r="E47" s="87" t="s">
        <v>358</v>
      </c>
      <c r="F47" s="87" t="s">
        <v>270</v>
      </c>
      <c r="G47" s="88" t="s">
        <v>271</v>
      </c>
      <c r="H47" s="89">
        <v>12800</v>
      </c>
      <c r="I47" s="89">
        <v>0</v>
      </c>
      <c r="J47" s="89">
        <v>0</v>
      </c>
      <c r="K47" s="89">
        <v>5000</v>
      </c>
      <c r="L47" s="89">
        <v>572.96</v>
      </c>
      <c r="M47" s="89">
        <v>146.24</v>
      </c>
      <c r="N47" s="89">
        <v>35.81</v>
      </c>
      <c r="O47" s="89">
        <v>640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7" t="s">
        <v>272</v>
      </c>
      <c r="Y47" s="89">
        <v>0</v>
      </c>
      <c r="Z47" s="87" t="s">
        <v>272</v>
      </c>
      <c r="AA47" s="87" t="s">
        <v>272</v>
      </c>
      <c r="AB47" s="87" t="s">
        <v>272</v>
      </c>
      <c r="AC47" s="89">
        <v>0</v>
      </c>
      <c r="AD47" s="89">
        <v>89600</v>
      </c>
      <c r="AE47" s="89">
        <v>35000</v>
      </c>
      <c r="AF47" s="89">
        <v>9765.07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  <c r="AM47" s="89">
        <v>0</v>
      </c>
      <c r="AN47" s="89">
        <v>0</v>
      </c>
      <c r="AO47" s="87" t="s">
        <v>273</v>
      </c>
      <c r="AP47" s="89">
        <v>0</v>
      </c>
      <c r="AQ47" s="89">
        <v>44834.93</v>
      </c>
      <c r="AR47" s="89">
        <v>0.1</v>
      </c>
      <c r="AS47" s="89">
        <v>2520</v>
      </c>
      <c r="AT47" s="89">
        <v>1963.49</v>
      </c>
      <c r="AU47" s="89">
        <v>0</v>
      </c>
      <c r="AV47" s="89">
        <v>0</v>
      </c>
      <c r="AW47" s="89">
        <v>1322.99</v>
      </c>
      <c r="AX47" s="89">
        <v>640.5</v>
      </c>
      <c r="AY47" s="87" t="s">
        <v>274</v>
      </c>
    </row>
    <row r="48" s="82" customFormat="1" ht="19.5" spans="1:51">
      <c r="A48" s="87" t="s">
        <v>483</v>
      </c>
      <c r="B48" s="87" t="s">
        <v>333</v>
      </c>
      <c r="C48" s="87" t="s">
        <v>268</v>
      </c>
      <c r="D48" s="87" t="s">
        <v>334</v>
      </c>
      <c r="E48" s="87" t="s">
        <v>334</v>
      </c>
      <c r="F48" s="87" t="s">
        <v>270</v>
      </c>
      <c r="G48" s="88" t="s">
        <v>271</v>
      </c>
      <c r="H48" s="89">
        <v>11250.02</v>
      </c>
      <c r="I48" s="89">
        <v>0</v>
      </c>
      <c r="J48" s="89">
        <v>0</v>
      </c>
      <c r="K48" s="89">
        <v>5000</v>
      </c>
      <c r="L48" s="89">
        <v>572.96</v>
      </c>
      <c r="M48" s="89">
        <v>146.24</v>
      </c>
      <c r="N48" s="89">
        <v>35.81</v>
      </c>
      <c r="O48" s="89">
        <v>560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7" t="s">
        <v>272</v>
      </c>
      <c r="Y48" s="89">
        <v>0</v>
      </c>
      <c r="Z48" s="87" t="s">
        <v>272</v>
      </c>
      <c r="AA48" s="87" t="s">
        <v>272</v>
      </c>
      <c r="AB48" s="87" t="s">
        <v>272</v>
      </c>
      <c r="AC48" s="89">
        <v>0</v>
      </c>
      <c r="AD48" s="89">
        <v>78670.5</v>
      </c>
      <c r="AE48" s="89">
        <v>35000</v>
      </c>
      <c r="AF48" s="89">
        <v>9205.07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  <c r="AM48" s="89">
        <v>0</v>
      </c>
      <c r="AN48" s="89">
        <v>0</v>
      </c>
      <c r="AO48" s="87" t="s">
        <v>273</v>
      </c>
      <c r="AP48" s="89">
        <v>0</v>
      </c>
      <c r="AQ48" s="89">
        <v>34465.43</v>
      </c>
      <c r="AR48" s="89">
        <v>0.03</v>
      </c>
      <c r="AS48" s="89">
        <v>0</v>
      </c>
      <c r="AT48" s="89">
        <v>1033.96</v>
      </c>
      <c r="AU48" s="89">
        <v>0</v>
      </c>
      <c r="AV48" s="89">
        <v>0</v>
      </c>
      <c r="AW48" s="89">
        <v>885.91</v>
      </c>
      <c r="AX48" s="89">
        <v>148.05</v>
      </c>
      <c r="AY48" s="87" t="s">
        <v>274</v>
      </c>
    </row>
    <row r="49" s="82" customFormat="1" ht="19.5" spans="1:51">
      <c r="A49" s="87" t="s">
        <v>484</v>
      </c>
      <c r="B49" s="87" t="s">
        <v>399</v>
      </c>
      <c r="C49" s="87" t="s">
        <v>268</v>
      </c>
      <c r="D49" s="87" t="s">
        <v>400</v>
      </c>
      <c r="E49" s="87" t="s">
        <v>400</v>
      </c>
      <c r="F49" s="87" t="s">
        <v>270</v>
      </c>
      <c r="G49" s="88" t="s">
        <v>271</v>
      </c>
      <c r="H49" s="89">
        <v>18400</v>
      </c>
      <c r="I49" s="89">
        <v>0</v>
      </c>
      <c r="J49" s="89">
        <v>0</v>
      </c>
      <c r="K49" s="89">
        <v>5000</v>
      </c>
      <c r="L49" s="89">
        <v>572.96</v>
      </c>
      <c r="M49" s="89">
        <v>146.24</v>
      </c>
      <c r="N49" s="89">
        <v>35.81</v>
      </c>
      <c r="O49" s="89">
        <v>920</v>
      </c>
      <c r="P49" s="89">
        <v>0</v>
      </c>
      <c r="Q49" s="89">
        <v>0</v>
      </c>
      <c r="R49" s="89">
        <v>0</v>
      </c>
      <c r="S49" s="89">
        <v>0</v>
      </c>
      <c r="T49" s="89">
        <v>0</v>
      </c>
      <c r="U49" s="89">
        <v>0</v>
      </c>
      <c r="V49" s="89">
        <v>0</v>
      </c>
      <c r="W49" s="89">
        <v>0</v>
      </c>
      <c r="X49" s="87" t="s">
        <v>272</v>
      </c>
      <c r="Y49" s="89">
        <v>0</v>
      </c>
      <c r="Z49" s="87" t="s">
        <v>272</v>
      </c>
      <c r="AA49" s="87" t="s">
        <v>272</v>
      </c>
      <c r="AB49" s="87" t="s">
        <v>272</v>
      </c>
      <c r="AC49" s="89">
        <v>0</v>
      </c>
      <c r="AD49" s="89">
        <v>50819.05</v>
      </c>
      <c r="AE49" s="89">
        <v>15000</v>
      </c>
      <c r="AF49" s="89">
        <v>5025.03</v>
      </c>
      <c r="AG49" s="89">
        <v>0</v>
      </c>
      <c r="AH49" s="89">
        <v>0</v>
      </c>
      <c r="AI49" s="89">
        <v>0</v>
      </c>
      <c r="AJ49" s="89">
        <v>0</v>
      </c>
      <c r="AK49" s="89">
        <v>0</v>
      </c>
      <c r="AL49" s="89">
        <v>0</v>
      </c>
      <c r="AM49" s="89">
        <v>0</v>
      </c>
      <c r="AN49" s="89">
        <v>0</v>
      </c>
      <c r="AO49" s="87" t="s">
        <v>273</v>
      </c>
      <c r="AP49" s="89">
        <v>0</v>
      </c>
      <c r="AQ49" s="89">
        <v>30794.02</v>
      </c>
      <c r="AR49" s="89">
        <v>0.03</v>
      </c>
      <c r="AS49" s="89">
        <v>0</v>
      </c>
      <c r="AT49" s="89">
        <v>923.82</v>
      </c>
      <c r="AU49" s="89">
        <v>0</v>
      </c>
      <c r="AV49" s="89">
        <v>0</v>
      </c>
      <c r="AW49" s="89">
        <v>572.07</v>
      </c>
      <c r="AX49" s="89">
        <v>351.75</v>
      </c>
      <c r="AY49" s="87" t="s">
        <v>274</v>
      </c>
    </row>
    <row r="50" s="82" customFormat="1" ht="19.5" spans="1:51">
      <c r="A50" s="87" t="s">
        <v>485</v>
      </c>
      <c r="B50" s="87" t="s">
        <v>397</v>
      </c>
      <c r="C50" s="87" t="s">
        <v>268</v>
      </c>
      <c r="D50" s="87" t="s">
        <v>398</v>
      </c>
      <c r="E50" s="87" t="s">
        <v>398</v>
      </c>
      <c r="F50" s="87" t="s">
        <v>270</v>
      </c>
      <c r="G50" s="88" t="s">
        <v>271</v>
      </c>
      <c r="H50" s="89">
        <v>8000</v>
      </c>
      <c r="I50" s="89">
        <v>0</v>
      </c>
      <c r="J50" s="89">
        <v>0</v>
      </c>
      <c r="K50" s="89">
        <v>5000</v>
      </c>
      <c r="L50" s="89">
        <v>572.96</v>
      </c>
      <c r="M50" s="89">
        <v>146.24</v>
      </c>
      <c r="N50" s="89">
        <v>35.81</v>
      </c>
      <c r="O50" s="89">
        <v>400</v>
      </c>
      <c r="P50" s="89">
        <v>0</v>
      </c>
      <c r="Q50" s="89">
        <v>0</v>
      </c>
      <c r="R50" s="89">
        <v>0</v>
      </c>
      <c r="S50" s="89">
        <v>0</v>
      </c>
      <c r="T50" s="89">
        <v>0</v>
      </c>
      <c r="U50" s="89">
        <v>0</v>
      </c>
      <c r="V50" s="89">
        <v>0</v>
      </c>
      <c r="W50" s="89">
        <v>0</v>
      </c>
      <c r="X50" s="87" t="s">
        <v>272</v>
      </c>
      <c r="Y50" s="89">
        <v>0</v>
      </c>
      <c r="Z50" s="87" t="s">
        <v>272</v>
      </c>
      <c r="AA50" s="87" t="s">
        <v>272</v>
      </c>
      <c r="AB50" s="87" t="s">
        <v>272</v>
      </c>
      <c r="AC50" s="89">
        <v>0</v>
      </c>
      <c r="AD50" s="89">
        <v>22095.24</v>
      </c>
      <c r="AE50" s="89">
        <v>15000</v>
      </c>
      <c r="AF50" s="89">
        <v>3465.03</v>
      </c>
      <c r="AG50" s="89">
        <v>0</v>
      </c>
      <c r="AH50" s="89">
        <v>0</v>
      </c>
      <c r="AI50" s="89">
        <v>0</v>
      </c>
      <c r="AJ50" s="89">
        <v>0</v>
      </c>
      <c r="AK50" s="89">
        <v>0</v>
      </c>
      <c r="AL50" s="89">
        <v>0</v>
      </c>
      <c r="AM50" s="89">
        <v>0</v>
      </c>
      <c r="AN50" s="89">
        <v>0</v>
      </c>
      <c r="AO50" s="87" t="s">
        <v>273</v>
      </c>
      <c r="AP50" s="89">
        <v>0</v>
      </c>
      <c r="AQ50" s="89">
        <v>3630.21</v>
      </c>
      <c r="AR50" s="89">
        <v>0.03</v>
      </c>
      <c r="AS50" s="89">
        <v>0</v>
      </c>
      <c r="AT50" s="89">
        <v>108.91</v>
      </c>
      <c r="AU50" s="89">
        <v>0</v>
      </c>
      <c r="AV50" s="89">
        <v>0</v>
      </c>
      <c r="AW50" s="89">
        <v>53.56</v>
      </c>
      <c r="AX50" s="89">
        <v>55.35</v>
      </c>
      <c r="AY50" s="87" t="s">
        <v>274</v>
      </c>
    </row>
    <row r="51" s="82" customFormat="1" ht="19.5" spans="1:51">
      <c r="A51" s="87" t="s">
        <v>486</v>
      </c>
      <c r="B51" s="87" t="s">
        <v>313</v>
      </c>
      <c r="C51" s="87" t="s">
        <v>268</v>
      </c>
      <c r="D51" s="87" t="s">
        <v>314</v>
      </c>
      <c r="E51" s="87" t="s">
        <v>314</v>
      </c>
      <c r="F51" s="87" t="s">
        <v>270</v>
      </c>
      <c r="G51" s="88" t="s">
        <v>271</v>
      </c>
      <c r="H51" s="89">
        <v>18200</v>
      </c>
      <c r="I51" s="89">
        <v>0</v>
      </c>
      <c r="J51" s="89">
        <v>0</v>
      </c>
      <c r="K51" s="89">
        <v>5000</v>
      </c>
      <c r="L51" s="89">
        <v>572.96</v>
      </c>
      <c r="M51" s="89">
        <v>146.24</v>
      </c>
      <c r="N51" s="89">
        <v>35.81</v>
      </c>
      <c r="O51" s="89">
        <v>1300</v>
      </c>
      <c r="P51" s="89">
        <v>0</v>
      </c>
      <c r="Q51" s="89">
        <v>0</v>
      </c>
      <c r="R51" s="89">
        <v>0</v>
      </c>
      <c r="S51" s="89">
        <v>0</v>
      </c>
      <c r="T51" s="89">
        <v>0</v>
      </c>
      <c r="U51" s="89">
        <v>0</v>
      </c>
      <c r="V51" s="89">
        <v>0</v>
      </c>
      <c r="W51" s="89">
        <v>0</v>
      </c>
      <c r="X51" s="87" t="s">
        <v>272</v>
      </c>
      <c r="Y51" s="89">
        <v>0</v>
      </c>
      <c r="Z51" s="87" t="s">
        <v>272</v>
      </c>
      <c r="AA51" s="87" t="s">
        <v>272</v>
      </c>
      <c r="AB51" s="87" t="s">
        <v>272</v>
      </c>
      <c r="AC51" s="89">
        <v>0</v>
      </c>
      <c r="AD51" s="89">
        <v>127590.72</v>
      </c>
      <c r="AE51" s="89">
        <v>35000</v>
      </c>
      <c r="AF51" s="89">
        <v>14385.07</v>
      </c>
      <c r="AG51" s="89">
        <v>0</v>
      </c>
      <c r="AH51" s="89">
        <v>0</v>
      </c>
      <c r="AI51" s="89">
        <v>0</v>
      </c>
      <c r="AJ51" s="89">
        <v>0</v>
      </c>
      <c r="AK51" s="89">
        <v>0</v>
      </c>
      <c r="AL51" s="89">
        <v>0</v>
      </c>
      <c r="AM51" s="89">
        <v>0</v>
      </c>
      <c r="AN51" s="89">
        <v>0</v>
      </c>
      <c r="AO51" s="87" t="s">
        <v>273</v>
      </c>
      <c r="AP51" s="89">
        <v>0</v>
      </c>
      <c r="AQ51" s="89">
        <v>78205.65</v>
      </c>
      <c r="AR51" s="89">
        <v>0.1</v>
      </c>
      <c r="AS51" s="89">
        <v>2520</v>
      </c>
      <c r="AT51" s="89">
        <v>5300.57</v>
      </c>
      <c r="AU51" s="89">
        <v>0</v>
      </c>
      <c r="AV51" s="89">
        <v>0</v>
      </c>
      <c r="AW51" s="89">
        <v>4186.07</v>
      </c>
      <c r="AX51" s="89">
        <v>1114.5</v>
      </c>
      <c r="AY51" s="87" t="s">
        <v>274</v>
      </c>
    </row>
    <row r="52" s="82" customFormat="1" ht="19.5" spans="1:51">
      <c r="A52" s="87" t="s">
        <v>487</v>
      </c>
      <c r="B52" s="87" t="s">
        <v>373</v>
      </c>
      <c r="C52" s="87" t="s">
        <v>268</v>
      </c>
      <c r="D52" s="87" t="s">
        <v>374</v>
      </c>
      <c r="E52" s="87" t="s">
        <v>374</v>
      </c>
      <c r="F52" s="87" t="s">
        <v>270</v>
      </c>
      <c r="G52" s="87" t="s">
        <v>271</v>
      </c>
      <c r="H52" s="89">
        <v>7809.52</v>
      </c>
      <c r="I52" s="89">
        <v>0</v>
      </c>
      <c r="J52" s="89">
        <v>0</v>
      </c>
      <c r="K52" s="89">
        <v>5000</v>
      </c>
      <c r="L52" s="89">
        <v>572.96</v>
      </c>
      <c r="M52" s="89">
        <v>146.24</v>
      </c>
      <c r="N52" s="89">
        <v>35.81</v>
      </c>
      <c r="O52" s="89">
        <v>400</v>
      </c>
      <c r="P52" s="89">
        <v>0</v>
      </c>
      <c r="Q52" s="89">
        <v>0</v>
      </c>
      <c r="R52" s="89">
        <v>0</v>
      </c>
      <c r="S52" s="89">
        <v>0</v>
      </c>
      <c r="T52" s="89">
        <v>0</v>
      </c>
      <c r="U52" s="89">
        <v>0</v>
      </c>
      <c r="V52" s="89">
        <v>0</v>
      </c>
      <c r="W52" s="89">
        <v>0</v>
      </c>
      <c r="X52" s="87" t="s">
        <v>272</v>
      </c>
      <c r="Y52" s="89">
        <v>0</v>
      </c>
      <c r="Z52" s="87" t="s">
        <v>272</v>
      </c>
      <c r="AA52" s="87" t="s">
        <v>272</v>
      </c>
      <c r="AB52" s="87" t="s">
        <v>272</v>
      </c>
      <c r="AC52" s="89">
        <v>0</v>
      </c>
      <c r="AD52" s="89">
        <v>29991.34</v>
      </c>
      <c r="AE52" s="89">
        <v>20000</v>
      </c>
      <c r="AF52" s="89">
        <v>4620.04</v>
      </c>
      <c r="AG52" s="89">
        <v>0</v>
      </c>
      <c r="AH52" s="89">
        <v>0</v>
      </c>
      <c r="AI52" s="89">
        <v>0</v>
      </c>
      <c r="AJ52" s="89">
        <v>0</v>
      </c>
      <c r="AK52" s="89">
        <v>0</v>
      </c>
      <c r="AL52" s="89">
        <v>0</v>
      </c>
      <c r="AM52" s="89">
        <v>0</v>
      </c>
      <c r="AN52" s="89">
        <v>0</v>
      </c>
      <c r="AO52" s="87" t="s">
        <v>273</v>
      </c>
      <c r="AP52" s="89">
        <v>0</v>
      </c>
      <c r="AQ52" s="89">
        <v>5371.3</v>
      </c>
      <c r="AR52" s="89">
        <v>0.03</v>
      </c>
      <c r="AS52" s="89">
        <v>0</v>
      </c>
      <c r="AT52" s="89">
        <v>161.14</v>
      </c>
      <c r="AU52" s="89">
        <v>0</v>
      </c>
      <c r="AV52" s="89">
        <v>0</v>
      </c>
      <c r="AW52" s="89">
        <v>111.5</v>
      </c>
      <c r="AX52" s="89">
        <v>49.64</v>
      </c>
      <c r="AY52" s="87" t="s">
        <v>274</v>
      </c>
    </row>
    <row r="53" s="82" customFormat="1" ht="19.5" spans="1:51">
      <c r="A53" s="87" t="s">
        <v>488</v>
      </c>
      <c r="B53" s="87" t="s">
        <v>363</v>
      </c>
      <c r="C53" s="87" t="s">
        <v>268</v>
      </c>
      <c r="D53" s="87" t="s">
        <v>364</v>
      </c>
      <c r="E53" s="87" t="s">
        <v>364</v>
      </c>
      <c r="F53" s="87" t="s">
        <v>270</v>
      </c>
      <c r="G53" s="87" t="s">
        <v>271</v>
      </c>
      <c r="H53" s="89">
        <v>17600</v>
      </c>
      <c r="I53" s="89">
        <v>0</v>
      </c>
      <c r="J53" s="89">
        <v>0</v>
      </c>
      <c r="K53" s="89">
        <v>5000</v>
      </c>
      <c r="L53" s="89">
        <v>572.96</v>
      </c>
      <c r="M53" s="89">
        <v>146.24</v>
      </c>
      <c r="N53" s="89">
        <v>35.81</v>
      </c>
      <c r="O53" s="89">
        <v>127</v>
      </c>
      <c r="P53" s="89">
        <v>0</v>
      </c>
      <c r="Q53" s="89">
        <v>0</v>
      </c>
      <c r="R53" s="89">
        <v>0</v>
      </c>
      <c r="S53" s="89">
        <v>0</v>
      </c>
      <c r="T53" s="89">
        <v>0</v>
      </c>
      <c r="U53" s="89">
        <v>0</v>
      </c>
      <c r="V53" s="89">
        <v>0</v>
      </c>
      <c r="W53" s="89">
        <v>0</v>
      </c>
      <c r="X53" s="87" t="s">
        <v>272</v>
      </c>
      <c r="Y53" s="89">
        <v>0</v>
      </c>
      <c r="Z53" s="87" t="s">
        <v>272</v>
      </c>
      <c r="AA53" s="87" t="s">
        <v>272</v>
      </c>
      <c r="AB53" s="87" t="s">
        <v>272</v>
      </c>
      <c r="AC53" s="89">
        <v>0</v>
      </c>
      <c r="AD53" s="89">
        <v>122622.07</v>
      </c>
      <c r="AE53" s="89">
        <v>35000</v>
      </c>
      <c r="AF53" s="89">
        <v>6174.07</v>
      </c>
      <c r="AG53" s="89">
        <v>0</v>
      </c>
      <c r="AH53" s="89">
        <v>0</v>
      </c>
      <c r="AI53" s="89">
        <v>0</v>
      </c>
      <c r="AJ53" s="89">
        <v>0</v>
      </c>
      <c r="AK53" s="89">
        <v>0</v>
      </c>
      <c r="AL53" s="89">
        <v>0</v>
      </c>
      <c r="AM53" s="89">
        <v>0</v>
      </c>
      <c r="AN53" s="89">
        <v>0</v>
      </c>
      <c r="AO53" s="87" t="s">
        <v>273</v>
      </c>
      <c r="AP53" s="89">
        <v>0</v>
      </c>
      <c r="AQ53" s="89">
        <v>81448</v>
      </c>
      <c r="AR53" s="89">
        <v>0.1</v>
      </c>
      <c r="AS53" s="89">
        <v>2520</v>
      </c>
      <c r="AT53" s="89">
        <v>5624.8</v>
      </c>
      <c r="AU53" s="89">
        <v>0</v>
      </c>
      <c r="AV53" s="89">
        <v>0</v>
      </c>
      <c r="AW53" s="89">
        <v>4453</v>
      </c>
      <c r="AX53" s="89">
        <v>1171.8</v>
      </c>
      <c r="AY53" s="87" t="s">
        <v>274</v>
      </c>
    </row>
    <row r="54" s="82" customFormat="1" ht="19.5" spans="1:51">
      <c r="A54" s="87" t="s">
        <v>489</v>
      </c>
      <c r="B54" s="87" t="s">
        <v>403</v>
      </c>
      <c r="C54" s="87" t="s">
        <v>268</v>
      </c>
      <c r="D54" s="87" t="s">
        <v>404</v>
      </c>
      <c r="E54" s="87" t="s">
        <v>404</v>
      </c>
      <c r="F54" s="87" t="s">
        <v>270</v>
      </c>
      <c r="G54" s="87" t="s">
        <v>271</v>
      </c>
      <c r="H54" s="89">
        <v>7200</v>
      </c>
      <c r="I54" s="89">
        <v>0</v>
      </c>
      <c r="J54" s="89">
        <v>0</v>
      </c>
      <c r="K54" s="89">
        <v>5000</v>
      </c>
      <c r="L54" s="89">
        <v>572.96</v>
      </c>
      <c r="M54" s="89">
        <v>146.24</v>
      </c>
      <c r="N54" s="89">
        <v>35.81</v>
      </c>
      <c r="O54" s="89">
        <v>360</v>
      </c>
      <c r="P54" s="89">
        <v>0</v>
      </c>
      <c r="Q54" s="89">
        <v>0</v>
      </c>
      <c r="R54" s="89">
        <v>0</v>
      </c>
      <c r="S54" s="89">
        <v>0</v>
      </c>
      <c r="T54" s="89">
        <v>0</v>
      </c>
      <c r="U54" s="89">
        <v>0</v>
      </c>
      <c r="V54" s="89">
        <v>0</v>
      </c>
      <c r="W54" s="89">
        <v>0</v>
      </c>
      <c r="X54" s="87" t="s">
        <v>272</v>
      </c>
      <c r="Y54" s="89">
        <v>0</v>
      </c>
      <c r="Z54" s="87" t="s">
        <v>272</v>
      </c>
      <c r="AA54" s="87" t="s">
        <v>272</v>
      </c>
      <c r="AB54" s="87" t="s">
        <v>272</v>
      </c>
      <c r="AC54" s="89">
        <v>0</v>
      </c>
      <c r="AD54" s="89">
        <v>16457.14</v>
      </c>
      <c r="AE54" s="89">
        <v>15000</v>
      </c>
      <c r="AF54" s="89">
        <v>2230.02</v>
      </c>
      <c r="AG54" s="89">
        <v>0</v>
      </c>
      <c r="AH54" s="89">
        <v>0</v>
      </c>
      <c r="AI54" s="89">
        <v>0</v>
      </c>
      <c r="AJ54" s="89">
        <v>0</v>
      </c>
      <c r="AK54" s="89">
        <v>0</v>
      </c>
      <c r="AL54" s="89">
        <v>0</v>
      </c>
      <c r="AM54" s="89">
        <v>0</v>
      </c>
      <c r="AN54" s="89">
        <v>0</v>
      </c>
      <c r="AO54" s="87" t="s">
        <v>273</v>
      </c>
      <c r="AP54" s="89">
        <v>0</v>
      </c>
      <c r="AQ54" s="89">
        <v>0</v>
      </c>
      <c r="AR54" s="89">
        <v>0.03</v>
      </c>
      <c r="AS54" s="89">
        <v>0</v>
      </c>
      <c r="AT54" s="89">
        <v>0</v>
      </c>
      <c r="AU54" s="89">
        <v>0</v>
      </c>
      <c r="AV54" s="89">
        <v>0</v>
      </c>
      <c r="AW54" s="89">
        <v>0</v>
      </c>
      <c r="AX54" s="89">
        <v>0</v>
      </c>
      <c r="AY54" s="87" t="s">
        <v>274</v>
      </c>
    </row>
    <row r="55" s="82" customFormat="1" ht="39" spans="1:51">
      <c r="A55" s="87" t="s">
        <v>490</v>
      </c>
      <c r="B55" s="87" t="s">
        <v>413</v>
      </c>
      <c r="C55" s="87" t="s">
        <v>268</v>
      </c>
      <c r="D55" s="87" t="s">
        <v>414</v>
      </c>
      <c r="E55" s="87" t="s">
        <v>414</v>
      </c>
      <c r="F55" s="87" t="s">
        <v>270</v>
      </c>
      <c r="G55" s="87" t="s">
        <v>271</v>
      </c>
      <c r="H55" s="89">
        <v>3803.01</v>
      </c>
      <c r="I55" s="89">
        <v>0</v>
      </c>
      <c r="J55" s="89">
        <v>0</v>
      </c>
      <c r="K55" s="89">
        <v>5000</v>
      </c>
      <c r="L55" s="89">
        <v>572.96</v>
      </c>
      <c r="M55" s="89">
        <v>146.24</v>
      </c>
      <c r="N55" s="89">
        <v>35.81</v>
      </c>
      <c r="O55" s="89">
        <v>0</v>
      </c>
      <c r="P55" s="89">
        <v>0</v>
      </c>
      <c r="Q55" s="89">
        <v>0</v>
      </c>
      <c r="R55" s="89">
        <v>0</v>
      </c>
      <c r="S55" s="89">
        <v>0</v>
      </c>
      <c r="T55" s="89">
        <v>0</v>
      </c>
      <c r="U55" s="89">
        <v>0</v>
      </c>
      <c r="V55" s="89">
        <v>0</v>
      </c>
      <c r="W55" s="89">
        <v>0</v>
      </c>
      <c r="X55" s="87" t="s">
        <v>272</v>
      </c>
      <c r="Y55" s="89">
        <v>0</v>
      </c>
      <c r="Z55" s="87" t="s">
        <v>272</v>
      </c>
      <c r="AA55" s="87" t="s">
        <v>272</v>
      </c>
      <c r="AB55" s="87" t="s">
        <v>272</v>
      </c>
      <c r="AC55" s="89">
        <v>0</v>
      </c>
      <c r="AD55" s="89">
        <v>26585.27</v>
      </c>
      <c r="AE55" s="89">
        <v>60000</v>
      </c>
      <c r="AF55" s="89">
        <v>5285.07</v>
      </c>
      <c r="AG55" s="89">
        <v>0</v>
      </c>
      <c r="AH55" s="89">
        <v>0</v>
      </c>
      <c r="AI55" s="89">
        <v>0</v>
      </c>
      <c r="AJ55" s="89">
        <v>0</v>
      </c>
      <c r="AK55" s="89">
        <v>0</v>
      </c>
      <c r="AL55" s="89">
        <v>0</v>
      </c>
      <c r="AM55" s="89">
        <v>0</v>
      </c>
      <c r="AN55" s="89">
        <v>0</v>
      </c>
      <c r="AO55" s="87" t="s">
        <v>273</v>
      </c>
      <c r="AP55" s="89">
        <v>0</v>
      </c>
      <c r="AQ55" s="89">
        <v>0</v>
      </c>
      <c r="AR55" s="89">
        <v>0.03</v>
      </c>
      <c r="AS55" s="89">
        <v>0</v>
      </c>
      <c r="AT55" s="89">
        <v>0</v>
      </c>
      <c r="AU55" s="89">
        <v>0</v>
      </c>
      <c r="AV55" s="89">
        <v>0</v>
      </c>
      <c r="AW55" s="89">
        <v>0</v>
      </c>
      <c r="AX55" s="89">
        <v>0</v>
      </c>
      <c r="AY55" s="87" t="s">
        <v>491</v>
      </c>
    </row>
    <row r="56" s="82" customFormat="1" ht="19.5" spans="1:51">
      <c r="A56" s="87" t="s">
        <v>492</v>
      </c>
      <c r="B56" s="87" t="s">
        <v>359</v>
      </c>
      <c r="C56" s="87" t="s">
        <v>268</v>
      </c>
      <c r="D56" s="87" t="s">
        <v>360</v>
      </c>
      <c r="E56" s="87" t="s">
        <v>360</v>
      </c>
      <c r="F56" s="87" t="s">
        <v>270</v>
      </c>
      <c r="G56" s="87" t="s">
        <v>271</v>
      </c>
      <c r="H56" s="89">
        <v>11250.02</v>
      </c>
      <c r="I56" s="89">
        <v>0</v>
      </c>
      <c r="J56" s="89">
        <v>0</v>
      </c>
      <c r="K56" s="89">
        <v>5000</v>
      </c>
      <c r="L56" s="89">
        <v>572.96</v>
      </c>
      <c r="M56" s="89">
        <v>146.24</v>
      </c>
      <c r="N56" s="89">
        <v>35.81</v>
      </c>
      <c r="O56" s="89">
        <v>560</v>
      </c>
      <c r="P56" s="89">
        <v>0</v>
      </c>
      <c r="Q56" s="89">
        <v>0</v>
      </c>
      <c r="R56" s="89">
        <v>0</v>
      </c>
      <c r="S56" s="89">
        <v>0</v>
      </c>
      <c r="T56" s="89">
        <v>0</v>
      </c>
      <c r="U56" s="89">
        <v>0</v>
      </c>
      <c r="V56" s="89">
        <v>0</v>
      </c>
      <c r="W56" s="89">
        <v>0</v>
      </c>
      <c r="X56" s="87" t="s">
        <v>272</v>
      </c>
      <c r="Y56" s="89">
        <v>0</v>
      </c>
      <c r="Z56" s="87" t="s">
        <v>272</v>
      </c>
      <c r="AA56" s="87" t="s">
        <v>272</v>
      </c>
      <c r="AB56" s="87" t="s">
        <v>272</v>
      </c>
      <c r="AC56" s="89">
        <v>0</v>
      </c>
      <c r="AD56" s="89">
        <v>77869.83</v>
      </c>
      <c r="AE56" s="89">
        <v>35000</v>
      </c>
      <c r="AF56" s="89">
        <v>9205.07</v>
      </c>
      <c r="AG56" s="89">
        <v>0</v>
      </c>
      <c r="AH56" s="89">
        <v>0</v>
      </c>
      <c r="AI56" s="89">
        <v>0</v>
      </c>
      <c r="AJ56" s="89">
        <v>0</v>
      </c>
      <c r="AK56" s="89">
        <v>0</v>
      </c>
      <c r="AL56" s="89">
        <v>0</v>
      </c>
      <c r="AM56" s="89">
        <v>0</v>
      </c>
      <c r="AN56" s="89">
        <v>0</v>
      </c>
      <c r="AO56" s="87" t="s">
        <v>273</v>
      </c>
      <c r="AP56" s="89">
        <v>0</v>
      </c>
      <c r="AQ56" s="89">
        <v>33664.76</v>
      </c>
      <c r="AR56" s="89">
        <v>0.03</v>
      </c>
      <c r="AS56" s="89">
        <v>0</v>
      </c>
      <c r="AT56" s="89">
        <v>1009.94</v>
      </c>
      <c r="AU56" s="89">
        <v>0</v>
      </c>
      <c r="AV56" s="89">
        <v>0</v>
      </c>
      <c r="AW56" s="89">
        <v>861.89</v>
      </c>
      <c r="AX56" s="89">
        <v>148.05</v>
      </c>
      <c r="AY56" s="87" t="s">
        <v>274</v>
      </c>
    </row>
    <row r="57" s="82" customFormat="1" ht="19.5" spans="1:51">
      <c r="A57" s="87" t="s">
        <v>493</v>
      </c>
      <c r="B57" s="87" t="s">
        <v>415</v>
      </c>
      <c r="C57" s="87" t="s">
        <v>268</v>
      </c>
      <c r="D57" s="87" t="s">
        <v>416</v>
      </c>
      <c r="E57" s="87" t="s">
        <v>416</v>
      </c>
      <c r="F57" s="87" t="s">
        <v>270</v>
      </c>
      <c r="G57" s="87" t="s">
        <v>417</v>
      </c>
      <c r="H57" s="89">
        <v>1800</v>
      </c>
      <c r="I57" s="89">
        <v>800</v>
      </c>
      <c r="J57" s="89">
        <v>0</v>
      </c>
      <c r="K57" s="89">
        <v>0</v>
      </c>
      <c r="L57" s="89">
        <v>0</v>
      </c>
      <c r="M57" s="89">
        <v>0</v>
      </c>
      <c r="N57" s="89">
        <v>0</v>
      </c>
      <c r="O57" s="89">
        <v>0</v>
      </c>
      <c r="P57" s="89">
        <v>0</v>
      </c>
      <c r="Q57" s="89">
        <v>0</v>
      </c>
      <c r="R57" s="89">
        <v>0</v>
      </c>
      <c r="S57" s="89">
        <v>0</v>
      </c>
      <c r="T57" s="89">
        <v>0</v>
      </c>
      <c r="U57" s="87" t="s">
        <v>272</v>
      </c>
      <c r="V57" s="87" t="s">
        <v>272</v>
      </c>
      <c r="W57" s="87" t="s">
        <v>272</v>
      </c>
      <c r="X57" s="87" t="s">
        <v>272</v>
      </c>
      <c r="Y57" s="87" t="s">
        <v>272</v>
      </c>
      <c r="Z57" s="87" t="s">
        <v>272</v>
      </c>
      <c r="AA57" s="87" t="s">
        <v>272</v>
      </c>
      <c r="AB57" s="87" t="s">
        <v>272</v>
      </c>
      <c r="AC57" s="89">
        <v>0</v>
      </c>
      <c r="AD57" s="87" t="s">
        <v>272</v>
      </c>
      <c r="AE57" s="87" t="s">
        <v>272</v>
      </c>
      <c r="AF57" s="87" t="s">
        <v>272</v>
      </c>
      <c r="AG57" s="87" t="s">
        <v>272</v>
      </c>
      <c r="AH57" s="87" t="s">
        <v>272</v>
      </c>
      <c r="AI57" s="87" t="s">
        <v>272</v>
      </c>
      <c r="AJ57" s="87" t="s">
        <v>272</v>
      </c>
      <c r="AK57" s="87" t="s">
        <v>272</v>
      </c>
      <c r="AL57" s="87" t="s">
        <v>272</v>
      </c>
      <c r="AM57" s="87" t="s">
        <v>272</v>
      </c>
      <c r="AN57" s="87" t="s">
        <v>272</v>
      </c>
      <c r="AO57" s="87" t="s">
        <v>273</v>
      </c>
      <c r="AP57" s="89">
        <v>0</v>
      </c>
      <c r="AQ57" s="89">
        <v>1000</v>
      </c>
      <c r="AR57" s="89">
        <v>0.2</v>
      </c>
      <c r="AS57" s="89">
        <v>0</v>
      </c>
      <c r="AT57" s="89">
        <v>200</v>
      </c>
      <c r="AU57" s="89">
        <v>0</v>
      </c>
      <c r="AV57" s="89">
        <v>0</v>
      </c>
      <c r="AW57" s="89">
        <v>0</v>
      </c>
      <c r="AX57" s="89">
        <v>200</v>
      </c>
      <c r="AY57" s="87" t="s">
        <v>274</v>
      </c>
    </row>
    <row r="58" s="82" customFormat="1" ht="19.5" spans="1:51">
      <c r="A58" s="87" t="s">
        <v>437</v>
      </c>
      <c r="B58" s="87" t="s">
        <v>345</v>
      </c>
      <c r="C58" s="87" t="s">
        <v>268</v>
      </c>
      <c r="D58" s="87" t="s">
        <v>346</v>
      </c>
      <c r="E58" s="87" t="s">
        <v>346</v>
      </c>
      <c r="F58" s="87" t="s">
        <v>270</v>
      </c>
      <c r="G58" s="88" t="s">
        <v>271</v>
      </c>
      <c r="H58" s="89">
        <v>8000</v>
      </c>
      <c r="I58" s="89">
        <v>0</v>
      </c>
      <c r="J58" s="89">
        <v>0</v>
      </c>
      <c r="K58" s="89">
        <v>5000</v>
      </c>
      <c r="L58" s="89">
        <v>367.04</v>
      </c>
      <c r="M58" s="89">
        <v>91.76</v>
      </c>
      <c r="N58" s="89">
        <v>18.35</v>
      </c>
      <c r="O58" s="89">
        <v>400</v>
      </c>
      <c r="P58" s="89">
        <v>0</v>
      </c>
      <c r="Q58" s="89">
        <v>0</v>
      </c>
      <c r="R58" s="89">
        <v>0</v>
      </c>
      <c r="S58" s="89">
        <v>0</v>
      </c>
      <c r="T58" s="89">
        <v>0</v>
      </c>
      <c r="U58" s="89">
        <v>0</v>
      </c>
      <c r="V58" s="89">
        <v>0</v>
      </c>
      <c r="W58" s="89">
        <v>0</v>
      </c>
      <c r="X58" s="87" t="s">
        <v>272</v>
      </c>
      <c r="Y58" s="89">
        <v>0</v>
      </c>
      <c r="Z58" s="87" t="s">
        <v>272</v>
      </c>
      <c r="AA58" s="87" t="s">
        <v>272</v>
      </c>
      <c r="AB58" s="87" t="s">
        <v>272</v>
      </c>
      <c r="AC58" s="89">
        <v>0</v>
      </c>
      <c r="AD58" s="89">
        <v>56000</v>
      </c>
      <c r="AE58" s="89">
        <v>35000</v>
      </c>
      <c r="AF58" s="89">
        <v>6140.05</v>
      </c>
      <c r="AG58" s="89">
        <v>0</v>
      </c>
      <c r="AH58" s="89">
        <v>0</v>
      </c>
      <c r="AI58" s="89">
        <v>0</v>
      </c>
      <c r="AJ58" s="89">
        <v>0</v>
      </c>
      <c r="AK58" s="89">
        <v>0</v>
      </c>
      <c r="AL58" s="89">
        <v>0</v>
      </c>
      <c r="AM58" s="89">
        <v>0</v>
      </c>
      <c r="AN58" s="89">
        <v>0</v>
      </c>
      <c r="AO58" s="87" t="s">
        <v>273</v>
      </c>
      <c r="AP58" s="89">
        <v>0</v>
      </c>
      <c r="AQ58" s="89">
        <v>14859.95</v>
      </c>
      <c r="AR58" s="89">
        <v>0.03</v>
      </c>
      <c r="AS58" s="89">
        <v>0</v>
      </c>
      <c r="AT58" s="89">
        <v>445.8</v>
      </c>
      <c r="AU58" s="89">
        <v>0</v>
      </c>
      <c r="AV58" s="89">
        <v>0</v>
      </c>
      <c r="AW58" s="89">
        <v>382.11</v>
      </c>
      <c r="AX58" s="89">
        <v>63.69</v>
      </c>
      <c r="AY58" s="87" t="s">
        <v>274</v>
      </c>
    </row>
    <row r="59" s="82" customFormat="1" customHeight="1" spans="1:51">
      <c r="A59" s="87" t="s">
        <v>437</v>
      </c>
      <c r="B59" s="87" t="s">
        <v>393</v>
      </c>
      <c r="C59" s="87" t="s">
        <v>268</v>
      </c>
      <c r="D59" s="87" t="s">
        <v>394</v>
      </c>
      <c r="E59" s="87" t="s">
        <v>394</v>
      </c>
      <c r="F59" s="87" t="s">
        <v>270</v>
      </c>
      <c r="G59" s="88" t="s">
        <v>271</v>
      </c>
      <c r="H59" s="89">
        <v>5708</v>
      </c>
      <c r="I59" s="89">
        <v>0</v>
      </c>
      <c r="J59" s="89">
        <v>0</v>
      </c>
      <c r="K59" s="89">
        <v>5000</v>
      </c>
      <c r="L59" s="89">
        <v>323.44</v>
      </c>
      <c r="M59" s="89">
        <v>88.66</v>
      </c>
      <c r="N59" s="89">
        <v>20.22</v>
      </c>
      <c r="O59" s="89">
        <v>260</v>
      </c>
      <c r="P59" s="89">
        <v>0</v>
      </c>
      <c r="Q59" s="89">
        <v>0</v>
      </c>
      <c r="R59" s="89">
        <v>0</v>
      </c>
      <c r="S59" s="89">
        <v>0</v>
      </c>
      <c r="T59" s="89">
        <v>0</v>
      </c>
      <c r="U59" s="89">
        <v>0</v>
      </c>
      <c r="V59" s="89">
        <v>0</v>
      </c>
      <c r="W59" s="89">
        <v>0</v>
      </c>
      <c r="X59" s="87" t="s">
        <v>272</v>
      </c>
      <c r="Y59" s="89">
        <v>0</v>
      </c>
      <c r="Z59" s="87" t="s">
        <v>272</v>
      </c>
      <c r="AA59" s="87" t="s">
        <v>272</v>
      </c>
      <c r="AB59" s="87" t="s">
        <v>272</v>
      </c>
      <c r="AC59" s="89">
        <v>0</v>
      </c>
      <c r="AD59" s="89">
        <v>17548.55</v>
      </c>
      <c r="AE59" s="89">
        <v>20000</v>
      </c>
      <c r="AF59" s="89">
        <v>2076.96</v>
      </c>
      <c r="AG59" s="89">
        <v>0</v>
      </c>
      <c r="AH59" s="89">
        <v>0</v>
      </c>
      <c r="AI59" s="89">
        <v>0</v>
      </c>
      <c r="AJ59" s="89">
        <v>0</v>
      </c>
      <c r="AK59" s="89">
        <v>0</v>
      </c>
      <c r="AL59" s="89">
        <v>0</v>
      </c>
      <c r="AM59" s="89">
        <v>0</v>
      </c>
      <c r="AN59" s="89">
        <v>0</v>
      </c>
      <c r="AO59" s="87" t="s">
        <v>273</v>
      </c>
      <c r="AP59" s="89">
        <v>0</v>
      </c>
      <c r="AQ59" s="89">
        <v>0</v>
      </c>
      <c r="AR59" s="89">
        <v>0.03</v>
      </c>
      <c r="AS59" s="89">
        <v>0</v>
      </c>
      <c r="AT59" s="89">
        <v>0</v>
      </c>
      <c r="AU59" s="89">
        <v>0</v>
      </c>
      <c r="AV59" s="89">
        <v>0</v>
      </c>
      <c r="AW59" s="89">
        <v>0</v>
      </c>
      <c r="AX59" s="89">
        <v>0</v>
      </c>
      <c r="AY59" s="87" t="s">
        <v>274</v>
      </c>
    </row>
    <row r="60" s="82" customFormat="1" ht="19.5" spans="1:51">
      <c r="A60" s="87" t="s">
        <v>438</v>
      </c>
      <c r="B60" s="87" t="s">
        <v>341</v>
      </c>
      <c r="C60" s="87" t="s">
        <v>268</v>
      </c>
      <c r="D60" s="87" t="s">
        <v>342</v>
      </c>
      <c r="E60" s="87" t="s">
        <v>342</v>
      </c>
      <c r="F60" s="87" t="s">
        <v>270</v>
      </c>
      <c r="G60" s="88" t="s">
        <v>271</v>
      </c>
      <c r="H60" s="89">
        <v>7200</v>
      </c>
      <c r="I60" s="89">
        <v>0</v>
      </c>
      <c r="J60" s="89">
        <v>0</v>
      </c>
      <c r="K60" s="89">
        <v>5000</v>
      </c>
      <c r="L60" s="89">
        <v>398.88</v>
      </c>
      <c r="M60" s="89">
        <v>99.72</v>
      </c>
      <c r="N60" s="89">
        <v>24.93</v>
      </c>
      <c r="O60" s="89">
        <v>320</v>
      </c>
      <c r="P60" s="89">
        <v>0</v>
      </c>
      <c r="Q60" s="89">
        <v>0</v>
      </c>
      <c r="R60" s="89">
        <v>0</v>
      </c>
      <c r="S60" s="89">
        <v>0</v>
      </c>
      <c r="T60" s="89">
        <v>0</v>
      </c>
      <c r="U60" s="89">
        <v>0</v>
      </c>
      <c r="V60" s="89">
        <v>0</v>
      </c>
      <c r="W60" s="89">
        <v>0</v>
      </c>
      <c r="X60" s="87" t="s">
        <v>272</v>
      </c>
      <c r="Y60" s="89">
        <v>0</v>
      </c>
      <c r="Z60" s="87" t="s">
        <v>272</v>
      </c>
      <c r="AA60" s="87" t="s">
        <v>272</v>
      </c>
      <c r="AB60" s="87" t="s">
        <v>272</v>
      </c>
      <c r="AC60" s="89">
        <v>0</v>
      </c>
      <c r="AD60" s="89">
        <v>51115.17</v>
      </c>
      <c r="AE60" s="89">
        <v>35000</v>
      </c>
      <c r="AF60" s="89">
        <v>5904.71</v>
      </c>
      <c r="AG60" s="89">
        <v>0</v>
      </c>
      <c r="AH60" s="89">
        <v>0</v>
      </c>
      <c r="AI60" s="89">
        <v>0</v>
      </c>
      <c r="AJ60" s="89">
        <v>0</v>
      </c>
      <c r="AK60" s="89">
        <v>0</v>
      </c>
      <c r="AL60" s="89">
        <v>0</v>
      </c>
      <c r="AM60" s="89">
        <v>0</v>
      </c>
      <c r="AN60" s="89">
        <v>0</v>
      </c>
      <c r="AO60" s="87" t="s">
        <v>273</v>
      </c>
      <c r="AP60" s="89">
        <v>0</v>
      </c>
      <c r="AQ60" s="89">
        <v>10210.46</v>
      </c>
      <c r="AR60" s="89">
        <v>0.03</v>
      </c>
      <c r="AS60" s="89">
        <v>0</v>
      </c>
      <c r="AT60" s="89">
        <v>306.31</v>
      </c>
      <c r="AU60" s="89">
        <v>0</v>
      </c>
      <c r="AV60" s="89">
        <v>0</v>
      </c>
      <c r="AW60" s="89">
        <v>265.62</v>
      </c>
      <c r="AX60" s="89">
        <v>40.69</v>
      </c>
      <c r="AY60" s="87" t="s">
        <v>274</v>
      </c>
    </row>
    <row r="61" s="82" customFormat="1" ht="19.5" spans="1:51">
      <c r="A61" s="87" t="s">
        <v>439</v>
      </c>
      <c r="B61" s="87" t="s">
        <v>285</v>
      </c>
      <c r="C61" s="87" t="s">
        <v>268</v>
      </c>
      <c r="D61" s="87" t="s">
        <v>286</v>
      </c>
      <c r="E61" s="87" t="s">
        <v>286</v>
      </c>
      <c r="F61" s="87" t="s">
        <v>270</v>
      </c>
      <c r="G61" s="88" t="s">
        <v>271</v>
      </c>
      <c r="H61" s="89">
        <v>3906.53</v>
      </c>
      <c r="I61" s="89">
        <v>0</v>
      </c>
      <c r="J61" s="89">
        <v>3906.53</v>
      </c>
      <c r="K61" s="89">
        <v>5000</v>
      </c>
      <c r="L61" s="89">
        <v>398.88</v>
      </c>
      <c r="M61" s="89">
        <v>99.72</v>
      </c>
      <c r="N61" s="89">
        <v>24.93</v>
      </c>
      <c r="O61" s="89">
        <v>723</v>
      </c>
      <c r="P61" s="89">
        <v>0</v>
      </c>
      <c r="Q61" s="89">
        <v>0</v>
      </c>
      <c r="R61" s="89">
        <v>0</v>
      </c>
      <c r="S61" s="89">
        <v>0</v>
      </c>
      <c r="T61" s="89">
        <v>0</v>
      </c>
      <c r="U61" s="89">
        <v>0</v>
      </c>
      <c r="V61" s="89">
        <v>0</v>
      </c>
      <c r="W61" s="89">
        <v>0</v>
      </c>
      <c r="X61" s="87" t="s">
        <v>272</v>
      </c>
      <c r="Y61" s="89">
        <v>0</v>
      </c>
      <c r="Z61" s="87" t="s">
        <v>272</v>
      </c>
      <c r="AA61" s="87" t="s">
        <v>272</v>
      </c>
      <c r="AB61" s="87" t="s">
        <v>272</v>
      </c>
      <c r="AC61" s="89">
        <v>0</v>
      </c>
      <c r="AD61" s="89">
        <v>48198.57</v>
      </c>
      <c r="AE61" s="89">
        <v>35000</v>
      </c>
      <c r="AF61" s="89">
        <v>9719.43</v>
      </c>
      <c r="AG61" s="89">
        <v>0</v>
      </c>
      <c r="AH61" s="89">
        <v>0</v>
      </c>
      <c r="AI61" s="89">
        <v>0</v>
      </c>
      <c r="AJ61" s="89">
        <v>10500</v>
      </c>
      <c r="AK61" s="89">
        <v>0</v>
      </c>
      <c r="AL61" s="89">
        <v>0</v>
      </c>
      <c r="AM61" s="89">
        <v>0</v>
      </c>
      <c r="AN61" s="89">
        <v>0</v>
      </c>
      <c r="AO61" s="87" t="s">
        <v>273</v>
      </c>
      <c r="AP61" s="89">
        <v>0</v>
      </c>
      <c r="AQ61" s="89">
        <v>0</v>
      </c>
      <c r="AR61" s="89">
        <v>0.03</v>
      </c>
      <c r="AS61" s="89">
        <v>0</v>
      </c>
      <c r="AT61" s="89">
        <v>0</v>
      </c>
      <c r="AU61" s="89">
        <v>0</v>
      </c>
      <c r="AV61" s="89">
        <v>0</v>
      </c>
      <c r="AW61" s="89">
        <v>436.85</v>
      </c>
      <c r="AX61" s="89">
        <v>0</v>
      </c>
      <c r="AY61" s="87" t="s">
        <v>274</v>
      </c>
    </row>
    <row r="62" s="82" customFormat="1" ht="19.5" spans="1:51">
      <c r="A62" s="87" t="s">
        <v>440</v>
      </c>
      <c r="B62" s="87" t="s">
        <v>283</v>
      </c>
      <c r="C62" s="87" t="s">
        <v>268</v>
      </c>
      <c r="D62" s="87" t="s">
        <v>284</v>
      </c>
      <c r="E62" s="87" t="s">
        <v>284</v>
      </c>
      <c r="F62" s="87" t="s">
        <v>270</v>
      </c>
      <c r="G62" s="88" t="s">
        <v>271</v>
      </c>
      <c r="H62" s="89">
        <v>10450.02</v>
      </c>
      <c r="I62" s="89">
        <v>0</v>
      </c>
      <c r="J62" s="89">
        <v>0</v>
      </c>
      <c r="K62" s="89">
        <v>5000</v>
      </c>
      <c r="L62" s="89">
        <v>398.88</v>
      </c>
      <c r="M62" s="89">
        <v>99.72</v>
      </c>
      <c r="N62" s="89">
        <v>24.93</v>
      </c>
      <c r="O62" s="89">
        <v>600</v>
      </c>
      <c r="P62" s="89">
        <v>0</v>
      </c>
      <c r="Q62" s="89">
        <v>0</v>
      </c>
      <c r="R62" s="89">
        <v>0</v>
      </c>
      <c r="S62" s="89">
        <v>0</v>
      </c>
      <c r="T62" s="89">
        <v>0</v>
      </c>
      <c r="U62" s="89">
        <v>0</v>
      </c>
      <c r="V62" s="89">
        <v>0</v>
      </c>
      <c r="W62" s="89">
        <v>0</v>
      </c>
      <c r="X62" s="87" t="s">
        <v>272</v>
      </c>
      <c r="Y62" s="89">
        <v>0</v>
      </c>
      <c r="Z62" s="87" t="s">
        <v>272</v>
      </c>
      <c r="AA62" s="87" t="s">
        <v>272</v>
      </c>
      <c r="AB62" s="87" t="s">
        <v>272</v>
      </c>
      <c r="AC62" s="89">
        <v>0</v>
      </c>
      <c r="AD62" s="89">
        <v>72991.45</v>
      </c>
      <c r="AE62" s="89">
        <v>35000</v>
      </c>
      <c r="AF62" s="89">
        <v>8600.34</v>
      </c>
      <c r="AG62" s="89">
        <v>0</v>
      </c>
      <c r="AH62" s="89">
        <v>10500</v>
      </c>
      <c r="AI62" s="89">
        <v>0</v>
      </c>
      <c r="AJ62" s="89">
        <v>0</v>
      </c>
      <c r="AK62" s="89">
        <v>0</v>
      </c>
      <c r="AL62" s="89">
        <v>0</v>
      </c>
      <c r="AM62" s="89">
        <v>0</v>
      </c>
      <c r="AN62" s="89">
        <v>0</v>
      </c>
      <c r="AO62" s="87" t="s">
        <v>273</v>
      </c>
      <c r="AP62" s="89">
        <v>0</v>
      </c>
      <c r="AQ62" s="89">
        <v>18891.11</v>
      </c>
      <c r="AR62" s="89">
        <v>0.03</v>
      </c>
      <c r="AS62" s="89">
        <v>0</v>
      </c>
      <c r="AT62" s="89">
        <v>566.73</v>
      </c>
      <c r="AU62" s="89">
        <v>0</v>
      </c>
      <c r="AV62" s="89">
        <v>0</v>
      </c>
      <c r="AW62" s="89">
        <v>481.94</v>
      </c>
      <c r="AX62" s="89">
        <v>84.79</v>
      </c>
      <c r="AY62" s="87" t="s">
        <v>274</v>
      </c>
    </row>
    <row r="63" s="82" customFormat="1" ht="19.5" spans="1:51">
      <c r="A63" s="87" t="s">
        <v>441</v>
      </c>
      <c r="B63" s="87" t="s">
        <v>267</v>
      </c>
      <c r="C63" s="87" t="s">
        <v>268</v>
      </c>
      <c r="D63" s="87" t="s">
        <v>269</v>
      </c>
      <c r="E63" s="87" t="s">
        <v>269</v>
      </c>
      <c r="F63" s="87" t="s">
        <v>270</v>
      </c>
      <c r="G63" s="88" t="s">
        <v>271</v>
      </c>
      <c r="H63" s="89">
        <v>40000</v>
      </c>
      <c r="I63" s="89">
        <v>0</v>
      </c>
      <c r="J63" s="89">
        <v>0</v>
      </c>
      <c r="K63" s="89">
        <v>5000</v>
      </c>
      <c r="L63" s="89">
        <v>398.88</v>
      </c>
      <c r="M63" s="89">
        <v>99.72</v>
      </c>
      <c r="N63" s="89">
        <v>24.93</v>
      </c>
      <c r="O63" s="89">
        <v>1977</v>
      </c>
      <c r="P63" s="89">
        <v>0</v>
      </c>
      <c r="Q63" s="89">
        <v>0</v>
      </c>
      <c r="R63" s="89">
        <v>0</v>
      </c>
      <c r="S63" s="89">
        <v>0</v>
      </c>
      <c r="T63" s="89">
        <v>0</v>
      </c>
      <c r="U63" s="89">
        <v>0</v>
      </c>
      <c r="V63" s="89">
        <v>0</v>
      </c>
      <c r="W63" s="89">
        <v>0</v>
      </c>
      <c r="X63" s="87" t="s">
        <v>272</v>
      </c>
      <c r="Y63" s="89">
        <v>0</v>
      </c>
      <c r="Z63" s="87" t="s">
        <v>272</v>
      </c>
      <c r="AA63" s="87" t="s">
        <v>272</v>
      </c>
      <c r="AB63" s="87" t="s">
        <v>272</v>
      </c>
      <c r="AC63" s="89">
        <v>0</v>
      </c>
      <c r="AD63" s="89">
        <v>280000</v>
      </c>
      <c r="AE63" s="89">
        <v>35000</v>
      </c>
      <c r="AF63" s="89">
        <v>19597.83</v>
      </c>
      <c r="AG63" s="89">
        <v>0</v>
      </c>
      <c r="AH63" s="89">
        <v>0</v>
      </c>
      <c r="AI63" s="89">
        <v>0</v>
      </c>
      <c r="AJ63" s="89">
        <v>0</v>
      </c>
      <c r="AK63" s="89">
        <v>0</v>
      </c>
      <c r="AL63" s="89">
        <v>0</v>
      </c>
      <c r="AM63" s="89">
        <v>0</v>
      </c>
      <c r="AN63" s="89">
        <v>0</v>
      </c>
      <c r="AO63" s="87" t="s">
        <v>273</v>
      </c>
      <c r="AP63" s="89">
        <v>0</v>
      </c>
      <c r="AQ63" s="89">
        <v>225402.17</v>
      </c>
      <c r="AR63" s="89">
        <v>0.2</v>
      </c>
      <c r="AS63" s="89">
        <v>16920</v>
      </c>
      <c r="AT63" s="89">
        <v>28160.43</v>
      </c>
      <c r="AU63" s="89">
        <v>0</v>
      </c>
      <c r="AV63" s="89">
        <v>0</v>
      </c>
      <c r="AW63" s="89">
        <v>21660.54</v>
      </c>
      <c r="AX63" s="89">
        <v>6499.89</v>
      </c>
      <c r="AY63" s="87" t="s">
        <v>274</v>
      </c>
    </row>
    <row r="64" s="82" customFormat="1" ht="19.5" spans="1:51">
      <c r="A64" s="87" t="s">
        <v>442</v>
      </c>
      <c r="B64" s="87" t="s">
        <v>319</v>
      </c>
      <c r="C64" s="87" t="s">
        <v>268</v>
      </c>
      <c r="D64" s="87" t="s">
        <v>320</v>
      </c>
      <c r="E64" s="87" t="s">
        <v>320</v>
      </c>
      <c r="F64" s="87" t="s">
        <v>270</v>
      </c>
      <c r="G64" s="88" t="s">
        <v>271</v>
      </c>
      <c r="H64" s="89">
        <v>14400</v>
      </c>
      <c r="I64" s="89">
        <v>0</v>
      </c>
      <c r="J64" s="89">
        <v>0</v>
      </c>
      <c r="K64" s="89">
        <v>5000</v>
      </c>
      <c r="L64" s="89">
        <v>398.88</v>
      </c>
      <c r="M64" s="89">
        <v>99.72</v>
      </c>
      <c r="N64" s="89">
        <v>24.93</v>
      </c>
      <c r="O64" s="89">
        <v>900</v>
      </c>
      <c r="P64" s="89">
        <v>0</v>
      </c>
      <c r="Q64" s="89">
        <v>0</v>
      </c>
      <c r="R64" s="89">
        <v>0</v>
      </c>
      <c r="S64" s="89">
        <v>0</v>
      </c>
      <c r="T64" s="89">
        <v>0</v>
      </c>
      <c r="U64" s="89">
        <v>0</v>
      </c>
      <c r="V64" s="89">
        <v>0</v>
      </c>
      <c r="W64" s="89">
        <v>0</v>
      </c>
      <c r="X64" s="87" t="s">
        <v>272</v>
      </c>
      <c r="Y64" s="89">
        <v>0</v>
      </c>
      <c r="Z64" s="87" t="s">
        <v>272</v>
      </c>
      <c r="AA64" s="87" t="s">
        <v>272</v>
      </c>
      <c r="AB64" s="87" t="s">
        <v>272</v>
      </c>
      <c r="AC64" s="89">
        <v>0</v>
      </c>
      <c r="AD64" s="89">
        <v>101078.25</v>
      </c>
      <c r="AE64" s="89">
        <v>35000</v>
      </c>
      <c r="AF64" s="89">
        <v>11331.18</v>
      </c>
      <c r="AG64" s="89">
        <v>0</v>
      </c>
      <c r="AH64" s="89">
        <v>0</v>
      </c>
      <c r="AI64" s="89">
        <v>0</v>
      </c>
      <c r="AJ64" s="89">
        <v>0</v>
      </c>
      <c r="AK64" s="89">
        <v>0</v>
      </c>
      <c r="AL64" s="89">
        <v>0</v>
      </c>
      <c r="AM64" s="89">
        <v>0</v>
      </c>
      <c r="AN64" s="89">
        <v>0</v>
      </c>
      <c r="AO64" s="87" t="s">
        <v>273</v>
      </c>
      <c r="AP64" s="89">
        <v>0</v>
      </c>
      <c r="AQ64" s="89">
        <v>54747.07</v>
      </c>
      <c r="AR64" s="89">
        <v>0.1</v>
      </c>
      <c r="AS64" s="89">
        <v>2520</v>
      </c>
      <c r="AT64" s="89">
        <v>2954.71</v>
      </c>
      <c r="AU64" s="89">
        <v>0</v>
      </c>
      <c r="AV64" s="89">
        <v>0</v>
      </c>
      <c r="AW64" s="89">
        <v>2157.06</v>
      </c>
      <c r="AX64" s="89">
        <v>797.65</v>
      </c>
      <c r="AY64" s="87" t="s">
        <v>274</v>
      </c>
    </row>
    <row r="65" s="82" customFormat="1" ht="19.5" spans="1:51">
      <c r="A65" s="87" t="s">
        <v>443</v>
      </c>
      <c r="B65" s="87" t="s">
        <v>409</v>
      </c>
      <c r="C65" s="87" t="s">
        <v>268</v>
      </c>
      <c r="D65" s="87" t="s">
        <v>410</v>
      </c>
      <c r="E65" s="87" t="s">
        <v>410</v>
      </c>
      <c r="F65" s="87" t="s">
        <v>270</v>
      </c>
      <c r="G65" s="88" t="s">
        <v>271</v>
      </c>
      <c r="H65" s="89">
        <v>6095.24</v>
      </c>
      <c r="I65" s="89">
        <v>0</v>
      </c>
      <c r="J65" s="89">
        <v>0</v>
      </c>
      <c r="K65" s="89">
        <v>5000</v>
      </c>
      <c r="L65" s="89">
        <v>398.88</v>
      </c>
      <c r="M65" s="89">
        <v>99.72</v>
      </c>
      <c r="N65" s="89">
        <v>24.93</v>
      </c>
      <c r="O65" s="89">
        <v>400</v>
      </c>
      <c r="P65" s="89">
        <v>0</v>
      </c>
      <c r="Q65" s="89">
        <v>0</v>
      </c>
      <c r="R65" s="89">
        <v>0</v>
      </c>
      <c r="S65" s="89">
        <v>0</v>
      </c>
      <c r="T65" s="89">
        <v>0</v>
      </c>
      <c r="U65" s="89">
        <v>0</v>
      </c>
      <c r="V65" s="89">
        <v>0</v>
      </c>
      <c r="W65" s="89">
        <v>0</v>
      </c>
      <c r="X65" s="87" t="s">
        <v>272</v>
      </c>
      <c r="Y65" s="89">
        <v>0</v>
      </c>
      <c r="Z65" s="87" t="s">
        <v>272</v>
      </c>
      <c r="AA65" s="87" t="s">
        <v>272</v>
      </c>
      <c r="AB65" s="87" t="s">
        <v>272</v>
      </c>
      <c r="AC65" s="89">
        <v>0</v>
      </c>
      <c r="AD65" s="89">
        <v>6095.24</v>
      </c>
      <c r="AE65" s="89">
        <v>5000</v>
      </c>
      <c r="AF65" s="89">
        <v>923.53</v>
      </c>
      <c r="AG65" s="89">
        <v>0</v>
      </c>
      <c r="AH65" s="89">
        <v>0</v>
      </c>
      <c r="AI65" s="89">
        <v>0</v>
      </c>
      <c r="AJ65" s="89">
        <v>0</v>
      </c>
      <c r="AK65" s="89">
        <v>0</v>
      </c>
      <c r="AL65" s="89">
        <v>0</v>
      </c>
      <c r="AM65" s="89">
        <v>0</v>
      </c>
      <c r="AN65" s="89">
        <v>0</v>
      </c>
      <c r="AO65" s="87" t="s">
        <v>273</v>
      </c>
      <c r="AP65" s="89">
        <v>0</v>
      </c>
      <c r="AQ65" s="89">
        <v>171.71</v>
      </c>
      <c r="AR65" s="89">
        <v>0.03</v>
      </c>
      <c r="AS65" s="89">
        <v>0</v>
      </c>
      <c r="AT65" s="89">
        <v>5.15</v>
      </c>
      <c r="AU65" s="89">
        <v>0</v>
      </c>
      <c r="AV65" s="89">
        <v>0</v>
      </c>
      <c r="AW65" s="89">
        <v>0</v>
      </c>
      <c r="AX65" s="89">
        <v>5.15</v>
      </c>
      <c r="AY65" s="87" t="s">
        <v>274</v>
      </c>
    </row>
    <row r="66" s="82" customFormat="1" ht="19.5" spans="1:51">
      <c r="A66" s="87" t="s">
        <v>444</v>
      </c>
      <c r="B66" s="87" t="s">
        <v>369</v>
      </c>
      <c r="C66" s="87" t="s">
        <v>268</v>
      </c>
      <c r="D66" s="87" t="s">
        <v>370</v>
      </c>
      <c r="E66" s="87" t="s">
        <v>370</v>
      </c>
      <c r="F66" s="87" t="s">
        <v>270</v>
      </c>
      <c r="G66" s="88" t="s">
        <v>271</v>
      </c>
      <c r="H66" s="89">
        <v>11953.33</v>
      </c>
      <c r="I66" s="89">
        <v>0</v>
      </c>
      <c r="J66" s="89">
        <v>0</v>
      </c>
      <c r="K66" s="89">
        <v>5000</v>
      </c>
      <c r="L66" s="89">
        <v>398.88</v>
      </c>
      <c r="M66" s="89">
        <v>99.72</v>
      </c>
      <c r="N66" s="89">
        <v>24.93</v>
      </c>
      <c r="O66" s="89">
        <v>133</v>
      </c>
      <c r="P66" s="89">
        <v>0</v>
      </c>
      <c r="Q66" s="89">
        <v>0</v>
      </c>
      <c r="R66" s="89">
        <v>0</v>
      </c>
      <c r="S66" s="89">
        <v>0</v>
      </c>
      <c r="T66" s="89">
        <v>0</v>
      </c>
      <c r="U66" s="89">
        <v>0</v>
      </c>
      <c r="V66" s="89">
        <v>0</v>
      </c>
      <c r="W66" s="89">
        <v>0</v>
      </c>
      <c r="X66" s="87" t="s">
        <v>272</v>
      </c>
      <c r="Y66" s="89">
        <v>0</v>
      </c>
      <c r="Z66" s="87" t="s">
        <v>272</v>
      </c>
      <c r="AA66" s="87" t="s">
        <v>272</v>
      </c>
      <c r="AB66" s="87" t="s">
        <v>272</v>
      </c>
      <c r="AC66" s="89">
        <v>0</v>
      </c>
      <c r="AD66" s="89">
        <v>59856.92</v>
      </c>
      <c r="AE66" s="89">
        <v>25000</v>
      </c>
      <c r="AF66" s="89">
        <v>2626.12</v>
      </c>
      <c r="AG66" s="89">
        <v>0</v>
      </c>
      <c r="AH66" s="89">
        <v>0</v>
      </c>
      <c r="AI66" s="89">
        <v>0</v>
      </c>
      <c r="AJ66" s="89">
        <v>0</v>
      </c>
      <c r="AK66" s="89">
        <v>0</v>
      </c>
      <c r="AL66" s="89">
        <v>0</v>
      </c>
      <c r="AM66" s="89">
        <v>0</v>
      </c>
      <c r="AN66" s="89">
        <v>0</v>
      </c>
      <c r="AO66" s="87" t="s">
        <v>273</v>
      </c>
      <c r="AP66" s="89">
        <v>0</v>
      </c>
      <c r="AQ66" s="89">
        <v>32230.8</v>
      </c>
      <c r="AR66" s="89">
        <v>0.03</v>
      </c>
      <c r="AS66" s="89">
        <v>0</v>
      </c>
      <c r="AT66" s="89">
        <v>966.92</v>
      </c>
      <c r="AU66" s="89">
        <v>0</v>
      </c>
      <c r="AV66" s="89">
        <v>0</v>
      </c>
      <c r="AW66" s="89">
        <v>778.02</v>
      </c>
      <c r="AX66" s="89">
        <v>188.9</v>
      </c>
      <c r="AY66" s="87" t="s">
        <v>274</v>
      </c>
    </row>
    <row r="67" s="82" customFormat="1" ht="19.5" spans="1:51">
      <c r="A67" s="87" t="s">
        <v>445</v>
      </c>
      <c r="B67" s="87" t="s">
        <v>383</v>
      </c>
      <c r="C67" s="87" t="s">
        <v>268</v>
      </c>
      <c r="D67" s="87" t="s">
        <v>384</v>
      </c>
      <c r="E67" s="87" t="s">
        <v>384</v>
      </c>
      <c r="F67" s="87" t="s">
        <v>270</v>
      </c>
      <c r="G67" s="88" t="s">
        <v>271</v>
      </c>
      <c r="H67" s="89">
        <v>6400</v>
      </c>
      <c r="I67" s="89">
        <v>0</v>
      </c>
      <c r="J67" s="89">
        <v>0</v>
      </c>
      <c r="K67" s="89">
        <v>5000</v>
      </c>
      <c r="L67" s="89">
        <v>398.88</v>
      </c>
      <c r="M67" s="89">
        <v>99.72</v>
      </c>
      <c r="N67" s="89">
        <v>24.93</v>
      </c>
      <c r="O67" s="89">
        <v>320</v>
      </c>
      <c r="P67" s="89">
        <v>0</v>
      </c>
      <c r="Q67" s="89">
        <v>0</v>
      </c>
      <c r="R67" s="89">
        <v>0</v>
      </c>
      <c r="S67" s="89">
        <v>0</v>
      </c>
      <c r="T67" s="89">
        <v>0</v>
      </c>
      <c r="U67" s="89">
        <v>0</v>
      </c>
      <c r="V67" s="89">
        <v>0</v>
      </c>
      <c r="W67" s="89">
        <v>0</v>
      </c>
      <c r="X67" s="87" t="s">
        <v>272</v>
      </c>
      <c r="Y67" s="89">
        <v>0</v>
      </c>
      <c r="Z67" s="87" t="s">
        <v>272</v>
      </c>
      <c r="AA67" s="87" t="s">
        <v>272</v>
      </c>
      <c r="AB67" s="87" t="s">
        <v>272</v>
      </c>
      <c r="AC67" s="89">
        <v>0</v>
      </c>
      <c r="AD67" s="89">
        <v>21236.36</v>
      </c>
      <c r="AE67" s="89">
        <v>20000</v>
      </c>
      <c r="AF67" s="89">
        <v>2530.59</v>
      </c>
      <c r="AG67" s="89">
        <v>0</v>
      </c>
      <c r="AH67" s="89">
        <v>0</v>
      </c>
      <c r="AI67" s="89">
        <v>0</v>
      </c>
      <c r="AJ67" s="89">
        <v>0</v>
      </c>
      <c r="AK67" s="89">
        <v>0</v>
      </c>
      <c r="AL67" s="89">
        <v>0</v>
      </c>
      <c r="AM67" s="89">
        <v>0</v>
      </c>
      <c r="AN67" s="89">
        <v>0</v>
      </c>
      <c r="AO67" s="87" t="s">
        <v>273</v>
      </c>
      <c r="AP67" s="89">
        <v>0</v>
      </c>
      <c r="AQ67" s="89">
        <v>0</v>
      </c>
      <c r="AR67" s="89">
        <v>0.03</v>
      </c>
      <c r="AS67" s="89">
        <v>0</v>
      </c>
      <c r="AT67" s="89">
        <v>0</v>
      </c>
      <c r="AU67" s="89">
        <v>0</v>
      </c>
      <c r="AV67" s="89">
        <v>0</v>
      </c>
      <c r="AW67" s="89">
        <v>0</v>
      </c>
      <c r="AX67" s="89">
        <v>0</v>
      </c>
      <c r="AY67" s="87" t="s">
        <v>274</v>
      </c>
    </row>
    <row r="68" s="82" customFormat="1" customHeight="1" spans="1:51">
      <c r="A68" s="87" t="s">
        <v>447</v>
      </c>
      <c r="B68" s="87" t="s">
        <v>337</v>
      </c>
      <c r="C68" s="87" t="s">
        <v>268</v>
      </c>
      <c r="D68" s="87" t="s">
        <v>338</v>
      </c>
      <c r="E68" s="87" t="s">
        <v>338</v>
      </c>
      <c r="F68" s="87" t="s">
        <v>270</v>
      </c>
      <c r="G68" s="87" t="s">
        <v>271</v>
      </c>
      <c r="H68" s="89">
        <v>21050.02</v>
      </c>
      <c r="I68" s="89">
        <v>0</v>
      </c>
      <c r="J68" s="89">
        <v>0</v>
      </c>
      <c r="K68" s="89">
        <v>5000</v>
      </c>
      <c r="L68" s="89">
        <v>398.88</v>
      </c>
      <c r="M68" s="89">
        <v>99.72</v>
      </c>
      <c r="N68" s="89">
        <v>24.93</v>
      </c>
      <c r="O68" s="89">
        <v>1050</v>
      </c>
      <c r="P68" s="89">
        <v>0</v>
      </c>
      <c r="Q68" s="89">
        <v>0</v>
      </c>
      <c r="R68" s="89">
        <v>0</v>
      </c>
      <c r="S68" s="89">
        <v>0</v>
      </c>
      <c r="T68" s="89">
        <v>0</v>
      </c>
      <c r="U68" s="89">
        <v>0</v>
      </c>
      <c r="V68" s="89">
        <v>0</v>
      </c>
      <c r="W68" s="89">
        <v>0</v>
      </c>
      <c r="X68" s="87" t="s">
        <v>272</v>
      </c>
      <c r="Y68" s="89">
        <v>0</v>
      </c>
      <c r="Z68" s="87" t="s">
        <v>272</v>
      </c>
      <c r="AA68" s="87" t="s">
        <v>272</v>
      </c>
      <c r="AB68" s="87" t="s">
        <v>272</v>
      </c>
      <c r="AC68" s="89">
        <v>0</v>
      </c>
      <c r="AD68" s="89">
        <v>146960.02</v>
      </c>
      <c r="AE68" s="89">
        <v>35000</v>
      </c>
      <c r="AF68" s="89">
        <v>12696.18</v>
      </c>
      <c r="AG68" s="89">
        <v>0</v>
      </c>
      <c r="AH68" s="89">
        <v>0</v>
      </c>
      <c r="AI68" s="89">
        <v>0</v>
      </c>
      <c r="AJ68" s="89">
        <v>0</v>
      </c>
      <c r="AK68" s="89">
        <v>0</v>
      </c>
      <c r="AL68" s="89">
        <v>0</v>
      </c>
      <c r="AM68" s="89">
        <v>0</v>
      </c>
      <c r="AN68" s="89">
        <v>0</v>
      </c>
      <c r="AO68" s="87" t="s">
        <v>273</v>
      </c>
      <c r="AP68" s="89">
        <v>0</v>
      </c>
      <c r="AQ68" s="89">
        <v>99263.84</v>
      </c>
      <c r="AR68" s="89">
        <v>0.1</v>
      </c>
      <c r="AS68" s="89">
        <v>2520</v>
      </c>
      <c r="AT68" s="89">
        <v>7406.38</v>
      </c>
      <c r="AU68" s="89">
        <v>0</v>
      </c>
      <c r="AV68" s="89">
        <v>0</v>
      </c>
      <c r="AW68" s="89">
        <v>5958.74</v>
      </c>
      <c r="AX68" s="89">
        <v>1447.64</v>
      </c>
      <c r="AY68" s="87" t="s">
        <v>274</v>
      </c>
    </row>
    <row r="69" s="82" customFormat="1" customHeight="1" spans="1:51">
      <c r="A69" s="87" t="s">
        <v>448</v>
      </c>
      <c r="B69" s="87" t="s">
        <v>277</v>
      </c>
      <c r="C69" s="87" t="s">
        <v>268</v>
      </c>
      <c r="D69" s="87" t="s">
        <v>278</v>
      </c>
      <c r="E69" s="87" t="s">
        <v>278</v>
      </c>
      <c r="F69" s="87" t="s">
        <v>270</v>
      </c>
      <c r="G69" s="87" t="s">
        <v>271</v>
      </c>
      <c r="H69" s="89">
        <v>40000</v>
      </c>
      <c r="I69" s="89">
        <v>0</v>
      </c>
      <c r="J69" s="89">
        <v>0</v>
      </c>
      <c r="K69" s="89">
        <v>5000</v>
      </c>
      <c r="L69" s="89">
        <v>398.88</v>
      </c>
      <c r="M69" s="89">
        <v>99.72</v>
      </c>
      <c r="N69" s="89">
        <v>24.93</v>
      </c>
      <c r="O69" s="89">
        <v>1977</v>
      </c>
      <c r="P69" s="89">
        <v>0</v>
      </c>
      <c r="Q69" s="89">
        <v>0</v>
      </c>
      <c r="R69" s="89">
        <v>0</v>
      </c>
      <c r="S69" s="89">
        <v>0</v>
      </c>
      <c r="T69" s="89">
        <v>0</v>
      </c>
      <c r="U69" s="89">
        <v>0</v>
      </c>
      <c r="V69" s="89">
        <v>0</v>
      </c>
      <c r="W69" s="89">
        <v>0</v>
      </c>
      <c r="X69" s="87" t="s">
        <v>272</v>
      </c>
      <c r="Y69" s="89">
        <v>0</v>
      </c>
      <c r="Z69" s="87" t="s">
        <v>272</v>
      </c>
      <c r="AA69" s="87" t="s">
        <v>272</v>
      </c>
      <c r="AB69" s="87" t="s">
        <v>272</v>
      </c>
      <c r="AC69" s="89">
        <v>0</v>
      </c>
      <c r="AD69" s="89">
        <v>280000</v>
      </c>
      <c r="AE69" s="89">
        <v>35000</v>
      </c>
      <c r="AF69" s="89">
        <v>19597.83</v>
      </c>
      <c r="AG69" s="89">
        <v>0</v>
      </c>
      <c r="AH69" s="89">
        <v>21000</v>
      </c>
      <c r="AI69" s="89">
        <v>0</v>
      </c>
      <c r="AJ69" s="89">
        <v>0</v>
      </c>
      <c r="AK69" s="89">
        <v>0</v>
      </c>
      <c r="AL69" s="89">
        <v>0</v>
      </c>
      <c r="AM69" s="89">
        <v>0</v>
      </c>
      <c r="AN69" s="89">
        <v>0</v>
      </c>
      <c r="AO69" s="87" t="s">
        <v>273</v>
      </c>
      <c r="AP69" s="89">
        <v>0</v>
      </c>
      <c r="AQ69" s="89">
        <v>204402.17</v>
      </c>
      <c r="AR69" s="89">
        <v>0.2</v>
      </c>
      <c r="AS69" s="89">
        <v>16920</v>
      </c>
      <c r="AT69" s="89">
        <v>23960.43</v>
      </c>
      <c r="AU69" s="89">
        <v>0</v>
      </c>
      <c r="AV69" s="89">
        <v>0</v>
      </c>
      <c r="AW69" s="89">
        <v>18060.54</v>
      </c>
      <c r="AX69" s="89">
        <v>5899.89</v>
      </c>
      <c r="AY69" s="87" t="s">
        <v>274</v>
      </c>
    </row>
    <row r="70" s="82" customFormat="1" customHeight="1" spans="1:51">
      <c r="A70" s="87" t="s">
        <v>449</v>
      </c>
      <c r="B70" s="87" t="s">
        <v>391</v>
      </c>
      <c r="C70" s="87" t="s">
        <v>268</v>
      </c>
      <c r="D70" s="87" t="s">
        <v>392</v>
      </c>
      <c r="E70" s="87" t="s">
        <v>392</v>
      </c>
      <c r="F70" s="87" t="s">
        <v>270</v>
      </c>
      <c r="G70" s="87" t="s">
        <v>271</v>
      </c>
      <c r="H70" s="89">
        <v>5708</v>
      </c>
      <c r="I70" s="89">
        <v>0</v>
      </c>
      <c r="J70" s="89">
        <v>0</v>
      </c>
      <c r="K70" s="89">
        <v>5000</v>
      </c>
      <c r="L70" s="89">
        <v>323.44</v>
      </c>
      <c r="M70" s="89">
        <v>88.66</v>
      </c>
      <c r="N70" s="89">
        <v>20.22</v>
      </c>
      <c r="O70" s="89">
        <v>260</v>
      </c>
      <c r="P70" s="89">
        <v>0</v>
      </c>
      <c r="Q70" s="89">
        <v>0</v>
      </c>
      <c r="R70" s="89">
        <v>0</v>
      </c>
      <c r="S70" s="89">
        <v>0</v>
      </c>
      <c r="T70" s="89">
        <v>0</v>
      </c>
      <c r="U70" s="89">
        <v>0</v>
      </c>
      <c r="V70" s="89">
        <v>0</v>
      </c>
      <c r="W70" s="89">
        <v>0</v>
      </c>
      <c r="X70" s="87" t="s">
        <v>272</v>
      </c>
      <c r="Y70" s="89">
        <v>0</v>
      </c>
      <c r="Z70" s="87" t="s">
        <v>272</v>
      </c>
      <c r="AA70" s="87" t="s">
        <v>272</v>
      </c>
      <c r="AB70" s="87" t="s">
        <v>272</v>
      </c>
      <c r="AC70" s="89">
        <v>0</v>
      </c>
      <c r="AD70" s="89">
        <v>17591.09</v>
      </c>
      <c r="AE70" s="89">
        <v>20000</v>
      </c>
      <c r="AF70" s="89">
        <v>2076.96</v>
      </c>
      <c r="AG70" s="89">
        <v>0</v>
      </c>
      <c r="AH70" s="89">
        <v>0</v>
      </c>
      <c r="AI70" s="89">
        <v>0</v>
      </c>
      <c r="AJ70" s="89">
        <v>0</v>
      </c>
      <c r="AK70" s="89">
        <v>0</v>
      </c>
      <c r="AL70" s="89">
        <v>0</v>
      </c>
      <c r="AM70" s="89">
        <v>0</v>
      </c>
      <c r="AN70" s="89">
        <v>0</v>
      </c>
      <c r="AO70" s="87" t="s">
        <v>273</v>
      </c>
      <c r="AP70" s="89">
        <v>0</v>
      </c>
      <c r="AQ70" s="89">
        <v>0</v>
      </c>
      <c r="AR70" s="89">
        <v>0.03</v>
      </c>
      <c r="AS70" s="89">
        <v>0</v>
      </c>
      <c r="AT70" s="89">
        <v>0</v>
      </c>
      <c r="AU70" s="89">
        <v>0</v>
      </c>
      <c r="AV70" s="89">
        <v>0</v>
      </c>
      <c r="AW70" s="89">
        <v>0</v>
      </c>
      <c r="AX70" s="89">
        <v>0</v>
      </c>
      <c r="AY70" s="87" t="s">
        <v>274</v>
      </c>
    </row>
    <row r="71" s="82" customFormat="1" customHeight="1" spans="1:51">
      <c r="A71" s="87" t="s">
        <v>450</v>
      </c>
      <c r="B71" s="87" t="s">
        <v>365</v>
      </c>
      <c r="C71" s="87" t="s">
        <v>268</v>
      </c>
      <c r="D71" s="87" t="s">
        <v>366</v>
      </c>
      <c r="E71" s="87" t="s">
        <v>366</v>
      </c>
      <c r="F71" s="87" t="s">
        <v>270</v>
      </c>
      <c r="G71" s="87" t="s">
        <v>271</v>
      </c>
      <c r="H71" s="89">
        <v>11250.02</v>
      </c>
      <c r="I71" s="89">
        <v>0</v>
      </c>
      <c r="J71" s="89">
        <v>0</v>
      </c>
      <c r="K71" s="89">
        <v>5000</v>
      </c>
      <c r="L71" s="89">
        <v>398.88</v>
      </c>
      <c r="M71" s="89">
        <v>99.72</v>
      </c>
      <c r="N71" s="89">
        <v>24.93</v>
      </c>
      <c r="O71" s="89">
        <v>125</v>
      </c>
      <c r="P71" s="89">
        <v>0</v>
      </c>
      <c r="Q71" s="89">
        <v>0</v>
      </c>
      <c r="R71" s="89">
        <v>0</v>
      </c>
      <c r="S71" s="89">
        <v>0</v>
      </c>
      <c r="T71" s="89">
        <v>0</v>
      </c>
      <c r="U71" s="89">
        <v>0</v>
      </c>
      <c r="V71" s="89">
        <v>0</v>
      </c>
      <c r="W71" s="89">
        <v>0</v>
      </c>
      <c r="X71" s="87" t="s">
        <v>272</v>
      </c>
      <c r="Y71" s="89">
        <v>0</v>
      </c>
      <c r="Z71" s="87" t="s">
        <v>272</v>
      </c>
      <c r="AA71" s="87" t="s">
        <v>272</v>
      </c>
      <c r="AB71" s="87" t="s">
        <v>272</v>
      </c>
      <c r="AC71" s="89">
        <v>0</v>
      </c>
      <c r="AD71" s="89">
        <v>78591.45</v>
      </c>
      <c r="AE71" s="89">
        <v>35000</v>
      </c>
      <c r="AF71" s="89">
        <v>4539.71</v>
      </c>
      <c r="AG71" s="89">
        <v>14000</v>
      </c>
      <c r="AH71" s="89">
        <v>10500</v>
      </c>
      <c r="AI71" s="89">
        <v>0</v>
      </c>
      <c r="AJ71" s="89">
        <v>0</v>
      </c>
      <c r="AK71" s="89">
        <v>0</v>
      </c>
      <c r="AL71" s="89">
        <v>0</v>
      </c>
      <c r="AM71" s="89">
        <v>0</v>
      </c>
      <c r="AN71" s="89">
        <v>0</v>
      </c>
      <c r="AO71" s="87" t="s">
        <v>273</v>
      </c>
      <c r="AP71" s="89">
        <v>0</v>
      </c>
      <c r="AQ71" s="89">
        <v>14551.74</v>
      </c>
      <c r="AR71" s="89">
        <v>0.03</v>
      </c>
      <c r="AS71" s="89">
        <v>0</v>
      </c>
      <c r="AT71" s="89">
        <v>436.55</v>
      </c>
      <c r="AU71" s="89">
        <v>0</v>
      </c>
      <c r="AV71" s="89">
        <v>0</v>
      </c>
      <c r="AW71" s="89">
        <v>373.51</v>
      </c>
      <c r="AX71" s="89">
        <v>63.04</v>
      </c>
      <c r="AY71" s="87" t="s">
        <v>274</v>
      </c>
    </row>
    <row r="72" s="82" customFormat="1" customHeight="1" spans="1:51">
      <c r="A72" s="87" t="s">
        <v>451</v>
      </c>
      <c r="B72" s="87" t="s">
        <v>301</v>
      </c>
      <c r="C72" s="87" t="s">
        <v>268</v>
      </c>
      <c r="D72" s="87" t="s">
        <v>302</v>
      </c>
      <c r="E72" s="87" t="s">
        <v>302</v>
      </c>
      <c r="F72" s="87" t="s">
        <v>270</v>
      </c>
      <c r="G72" s="87" t="s">
        <v>271</v>
      </c>
      <c r="H72" s="89">
        <v>11200</v>
      </c>
      <c r="I72" s="89">
        <v>0</v>
      </c>
      <c r="J72" s="89">
        <v>0</v>
      </c>
      <c r="K72" s="89">
        <v>5000</v>
      </c>
      <c r="L72" s="89">
        <v>398.88</v>
      </c>
      <c r="M72" s="89">
        <v>99.72</v>
      </c>
      <c r="N72" s="89">
        <v>24.93</v>
      </c>
      <c r="O72" s="89">
        <v>694</v>
      </c>
      <c r="P72" s="89">
        <v>0</v>
      </c>
      <c r="Q72" s="89">
        <v>0</v>
      </c>
      <c r="R72" s="89">
        <v>0</v>
      </c>
      <c r="S72" s="89">
        <v>0</v>
      </c>
      <c r="T72" s="89">
        <v>0</v>
      </c>
      <c r="U72" s="89">
        <v>0</v>
      </c>
      <c r="V72" s="89">
        <v>0</v>
      </c>
      <c r="W72" s="89">
        <v>0</v>
      </c>
      <c r="X72" s="87" t="s">
        <v>272</v>
      </c>
      <c r="Y72" s="89">
        <v>0</v>
      </c>
      <c r="Z72" s="87" t="s">
        <v>272</v>
      </c>
      <c r="AA72" s="87" t="s">
        <v>272</v>
      </c>
      <c r="AB72" s="87" t="s">
        <v>272</v>
      </c>
      <c r="AC72" s="89">
        <v>0</v>
      </c>
      <c r="AD72" s="89">
        <v>78400</v>
      </c>
      <c r="AE72" s="89">
        <v>35000</v>
      </c>
      <c r="AF72" s="89">
        <v>9456.06</v>
      </c>
      <c r="AG72" s="89">
        <v>0</v>
      </c>
      <c r="AH72" s="89">
        <v>0</v>
      </c>
      <c r="AI72" s="89">
        <v>0</v>
      </c>
      <c r="AJ72" s="89">
        <v>0</v>
      </c>
      <c r="AK72" s="89">
        <v>0</v>
      </c>
      <c r="AL72" s="89">
        <v>0</v>
      </c>
      <c r="AM72" s="89">
        <v>0</v>
      </c>
      <c r="AN72" s="89">
        <v>0</v>
      </c>
      <c r="AO72" s="87" t="s">
        <v>273</v>
      </c>
      <c r="AP72" s="89">
        <v>0</v>
      </c>
      <c r="AQ72" s="89">
        <v>33943.94</v>
      </c>
      <c r="AR72" s="89">
        <v>0.03</v>
      </c>
      <c r="AS72" s="89">
        <v>0</v>
      </c>
      <c r="AT72" s="89">
        <v>1018.32</v>
      </c>
      <c r="AU72" s="89">
        <v>0</v>
      </c>
      <c r="AV72" s="89">
        <v>0</v>
      </c>
      <c r="AW72" s="89">
        <v>868.84</v>
      </c>
      <c r="AX72" s="89">
        <v>149.48</v>
      </c>
      <c r="AY72" s="87" t="s">
        <v>274</v>
      </c>
    </row>
    <row r="73" s="82" customFormat="1" ht="19.5" spans="1:51">
      <c r="A73" s="87" t="s">
        <v>452</v>
      </c>
      <c r="B73" s="87" t="s">
        <v>494</v>
      </c>
      <c r="C73" s="87" t="s">
        <v>268</v>
      </c>
      <c r="D73" s="87" t="s">
        <v>495</v>
      </c>
      <c r="E73" s="87" t="s">
        <v>495</v>
      </c>
      <c r="F73" s="87" t="s">
        <v>270</v>
      </c>
      <c r="G73" s="87" t="s">
        <v>417</v>
      </c>
      <c r="H73" s="89">
        <v>800</v>
      </c>
      <c r="I73" s="89">
        <v>800</v>
      </c>
      <c r="J73" s="89">
        <v>0</v>
      </c>
      <c r="K73" s="89">
        <v>0</v>
      </c>
      <c r="L73" s="89">
        <v>0</v>
      </c>
      <c r="M73" s="89">
        <v>0</v>
      </c>
      <c r="N73" s="89">
        <v>0</v>
      </c>
      <c r="O73" s="89">
        <v>0</v>
      </c>
      <c r="P73" s="89">
        <v>0</v>
      </c>
      <c r="Q73" s="89">
        <v>0</v>
      </c>
      <c r="R73" s="89">
        <v>0</v>
      </c>
      <c r="S73" s="89">
        <v>0</v>
      </c>
      <c r="T73" s="89">
        <v>0</v>
      </c>
      <c r="U73" s="87" t="s">
        <v>272</v>
      </c>
      <c r="V73" s="87" t="s">
        <v>272</v>
      </c>
      <c r="W73" s="87" t="s">
        <v>272</v>
      </c>
      <c r="X73" s="87" t="s">
        <v>272</v>
      </c>
      <c r="Y73" s="87" t="s">
        <v>272</v>
      </c>
      <c r="Z73" s="87" t="s">
        <v>272</v>
      </c>
      <c r="AA73" s="87" t="s">
        <v>272</v>
      </c>
      <c r="AB73" s="87" t="s">
        <v>272</v>
      </c>
      <c r="AC73" s="89">
        <v>0</v>
      </c>
      <c r="AD73" s="87" t="s">
        <v>272</v>
      </c>
      <c r="AE73" s="87" t="s">
        <v>272</v>
      </c>
      <c r="AF73" s="87" t="s">
        <v>272</v>
      </c>
      <c r="AG73" s="87" t="s">
        <v>272</v>
      </c>
      <c r="AH73" s="87" t="s">
        <v>272</v>
      </c>
      <c r="AI73" s="87" t="s">
        <v>272</v>
      </c>
      <c r="AJ73" s="87" t="s">
        <v>272</v>
      </c>
      <c r="AK73" s="87" t="s">
        <v>272</v>
      </c>
      <c r="AL73" s="87" t="s">
        <v>272</v>
      </c>
      <c r="AM73" s="87" t="s">
        <v>272</v>
      </c>
      <c r="AN73" s="87" t="s">
        <v>272</v>
      </c>
      <c r="AO73" s="87" t="s">
        <v>273</v>
      </c>
      <c r="AP73" s="89">
        <v>0</v>
      </c>
      <c r="AQ73" s="89">
        <v>0</v>
      </c>
      <c r="AR73" s="89">
        <v>0.2</v>
      </c>
      <c r="AS73" s="89">
        <v>0</v>
      </c>
      <c r="AT73" s="89">
        <v>0</v>
      </c>
      <c r="AU73" s="89">
        <v>0</v>
      </c>
      <c r="AV73" s="89">
        <v>0</v>
      </c>
      <c r="AW73" s="89">
        <v>0</v>
      </c>
      <c r="AX73" s="89">
        <v>0</v>
      </c>
      <c r="AY73" s="87" t="s">
        <v>274</v>
      </c>
    </row>
    <row r="74" s="82" customFormat="1" ht="19.5" spans="1:51">
      <c r="A74" s="87" t="s">
        <v>453</v>
      </c>
      <c r="B74" s="87" t="s">
        <v>496</v>
      </c>
      <c r="C74" s="87" t="s">
        <v>268</v>
      </c>
      <c r="D74" s="87" t="s">
        <v>497</v>
      </c>
      <c r="E74" s="87" t="s">
        <v>497</v>
      </c>
      <c r="F74" s="87" t="s">
        <v>270</v>
      </c>
      <c r="G74" s="87" t="s">
        <v>417</v>
      </c>
      <c r="H74" s="89">
        <v>800</v>
      </c>
      <c r="I74" s="89">
        <v>800</v>
      </c>
      <c r="J74" s="89">
        <v>0</v>
      </c>
      <c r="K74" s="89">
        <v>0</v>
      </c>
      <c r="L74" s="89">
        <v>0</v>
      </c>
      <c r="M74" s="89">
        <v>0</v>
      </c>
      <c r="N74" s="89">
        <v>0</v>
      </c>
      <c r="O74" s="89">
        <v>0</v>
      </c>
      <c r="P74" s="89">
        <v>0</v>
      </c>
      <c r="Q74" s="89">
        <v>0</v>
      </c>
      <c r="R74" s="89">
        <v>0</v>
      </c>
      <c r="S74" s="89">
        <v>0</v>
      </c>
      <c r="T74" s="89">
        <v>0</v>
      </c>
      <c r="U74" s="87" t="s">
        <v>272</v>
      </c>
      <c r="V74" s="87" t="s">
        <v>272</v>
      </c>
      <c r="W74" s="87" t="s">
        <v>272</v>
      </c>
      <c r="X74" s="87" t="s">
        <v>272</v>
      </c>
      <c r="Y74" s="87" t="s">
        <v>272</v>
      </c>
      <c r="Z74" s="87" t="s">
        <v>272</v>
      </c>
      <c r="AA74" s="87" t="s">
        <v>272</v>
      </c>
      <c r="AB74" s="87" t="s">
        <v>272</v>
      </c>
      <c r="AC74" s="89">
        <v>0</v>
      </c>
      <c r="AD74" s="87" t="s">
        <v>272</v>
      </c>
      <c r="AE74" s="87" t="s">
        <v>272</v>
      </c>
      <c r="AF74" s="87" t="s">
        <v>272</v>
      </c>
      <c r="AG74" s="87" t="s">
        <v>272</v>
      </c>
      <c r="AH74" s="87" t="s">
        <v>272</v>
      </c>
      <c r="AI74" s="87" t="s">
        <v>272</v>
      </c>
      <c r="AJ74" s="87" t="s">
        <v>272</v>
      </c>
      <c r="AK74" s="87" t="s">
        <v>272</v>
      </c>
      <c r="AL74" s="87" t="s">
        <v>272</v>
      </c>
      <c r="AM74" s="87" t="s">
        <v>272</v>
      </c>
      <c r="AN74" s="87" t="s">
        <v>272</v>
      </c>
      <c r="AO74" s="87" t="s">
        <v>273</v>
      </c>
      <c r="AP74" s="89">
        <v>0</v>
      </c>
      <c r="AQ74" s="89">
        <v>0</v>
      </c>
      <c r="AR74" s="89">
        <v>0.2</v>
      </c>
      <c r="AS74" s="89">
        <v>0</v>
      </c>
      <c r="AT74" s="89">
        <v>0</v>
      </c>
      <c r="AU74" s="89">
        <v>0</v>
      </c>
      <c r="AV74" s="89">
        <v>0</v>
      </c>
      <c r="AW74" s="89">
        <v>0</v>
      </c>
      <c r="AX74" s="89">
        <v>0</v>
      </c>
      <c r="AY74" s="87" t="s">
        <v>274</v>
      </c>
    </row>
    <row r="75" s="82" customFormat="1" ht="19.5" spans="1:51">
      <c r="A75" s="87" t="s">
        <v>454</v>
      </c>
      <c r="B75" s="87" t="s">
        <v>418</v>
      </c>
      <c r="C75" s="87" t="s">
        <v>268</v>
      </c>
      <c r="D75" s="87" t="s">
        <v>419</v>
      </c>
      <c r="E75" s="87" t="s">
        <v>419</v>
      </c>
      <c r="F75" s="87" t="s">
        <v>270</v>
      </c>
      <c r="G75" s="87" t="s">
        <v>417</v>
      </c>
      <c r="H75" s="89">
        <v>600</v>
      </c>
      <c r="I75" s="89">
        <v>800</v>
      </c>
      <c r="J75" s="89">
        <v>0</v>
      </c>
      <c r="K75" s="89">
        <v>0</v>
      </c>
      <c r="L75" s="89">
        <v>0</v>
      </c>
      <c r="M75" s="89">
        <v>0</v>
      </c>
      <c r="N75" s="89">
        <v>0</v>
      </c>
      <c r="O75" s="89">
        <v>0</v>
      </c>
      <c r="P75" s="89">
        <v>0</v>
      </c>
      <c r="Q75" s="89">
        <v>0</v>
      </c>
      <c r="R75" s="89">
        <v>0</v>
      </c>
      <c r="S75" s="89">
        <v>0</v>
      </c>
      <c r="T75" s="89">
        <v>0</v>
      </c>
      <c r="U75" s="87" t="s">
        <v>272</v>
      </c>
      <c r="V75" s="87" t="s">
        <v>272</v>
      </c>
      <c r="W75" s="87" t="s">
        <v>272</v>
      </c>
      <c r="X75" s="87" t="s">
        <v>272</v>
      </c>
      <c r="Y75" s="87" t="s">
        <v>272</v>
      </c>
      <c r="Z75" s="87" t="s">
        <v>272</v>
      </c>
      <c r="AA75" s="87" t="s">
        <v>272</v>
      </c>
      <c r="AB75" s="87" t="s">
        <v>272</v>
      </c>
      <c r="AC75" s="89">
        <v>0</v>
      </c>
      <c r="AD75" s="87" t="s">
        <v>272</v>
      </c>
      <c r="AE75" s="87" t="s">
        <v>272</v>
      </c>
      <c r="AF75" s="87" t="s">
        <v>272</v>
      </c>
      <c r="AG75" s="87" t="s">
        <v>272</v>
      </c>
      <c r="AH75" s="87" t="s">
        <v>272</v>
      </c>
      <c r="AI75" s="87" t="s">
        <v>272</v>
      </c>
      <c r="AJ75" s="87" t="s">
        <v>272</v>
      </c>
      <c r="AK75" s="87" t="s">
        <v>272</v>
      </c>
      <c r="AL75" s="87" t="s">
        <v>272</v>
      </c>
      <c r="AM75" s="87" t="s">
        <v>272</v>
      </c>
      <c r="AN75" s="87" t="s">
        <v>272</v>
      </c>
      <c r="AO75" s="87" t="s">
        <v>273</v>
      </c>
      <c r="AP75" s="89">
        <v>0</v>
      </c>
      <c r="AQ75" s="89">
        <v>0</v>
      </c>
      <c r="AR75" s="89">
        <v>0.2</v>
      </c>
      <c r="AS75" s="89">
        <v>0</v>
      </c>
      <c r="AT75" s="89">
        <v>0</v>
      </c>
      <c r="AU75" s="89">
        <v>0</v>
      </c>
      <c r="AV75" s="89">
        <v>0</v>
      </c>
      <c r="AW75" s="89">
        <v>0</v>
      </c>
      <c r="AX75" s="89">
        <v>0</v>
      </c>
      <c r="AY75" s="87" t="s">
        <v>274</v>
      </c>
    </row>
    <row r="76" s="82" customFormat="1" ht="19.5" spans="1:51">
      <c r="A76" s="87" t="s">
        <v>455</v>
      </c>
      <c r="B76" s="87" t="s">
        <v>498</v>
      </c>
      <c r="C76" s="87" t="s">
        <v>268</v>
      </c>
      <c r="D76" s="87" t="s">
        <v>499</v>
      </c>
      <c r="E76" s="87" t="s">
        <v>499</v>
      </c>
      <c r="F76" s="87" t="s">
        <v>270</v>
      </c>
      <c r="G76" s="87" t="s">
        <v>417</v>
      </c>
      <c r="H76" s="89">
        <v>800</v>
      </c>
      <c r="I76" s="89">
        <v>800</v>
      </c>
      <c r="J76" s="89">
        <v>0</v>
      </c>
      <c r="K76" s="89">
        <v>0</v>
      </c>
      <c r="L76" s="89">
        <v>0</v>
      </c>
      <c r="M76" s="89">
        <v>0</v>
      </c>
      <c r="N76" s="89">
        <v>0</v>
      </c>
      <c r="O76" s="89">
        <v>0</v>
      </c>
      <c r="P76" s="89">
        <v>0</v>
      </c>
      <c r="Q76" s="89">
        <v>0</v>
      </c>
      <c r="R76" s="89">
        <v>0</v>
      </c>
      <c r="S76" s="89">
        <v>0</v>
      </c>
      <c r="T76" s="89">
        <v>0</v>
      </c>
      <c r="U76" s="87" t="s">
        <v>272</v>
      </c>
      <c r="V76" s="87" t="s">
        <v>272</v>
      </c>
      <c r="W76" s="87" t="s">
        <v>272</v>
      </c>
      <c r="X76" s="87" t="s">
        <v>272</v>
      </c>
      <c r="Y76" s="87" t="s">
        <v>272</v>
      </c>
      <c r="Z76" s="87" t="s">
        <v>272</v>
      </c>
      <c r="AA76" s="87" t="s">
        <v>272</v>
      </c>
      <c r="AB76" s="87" t="s">
        <v>272</v>
      </c>
      <c r="AC76" s="89">
        <v>0</v>
      </c>
      <c r="AD76" s="87" t="s">
        <v>272</v>
      </c>
      <c r="AE76" s="87" t="s">
        <v>272</v>
      </c>
      <c r="AF76" s="87" t="s">
        <v>272</v>
      </c>
      <c r="AG76" s="87" t="s">
        <v>272</v>
      </c>
      <c r="AH76" s="87" t="s">
        <v>272</v>
      </c>
      <c r="AI76" s="87" t="s">
        <v>272</v>
      </c>
      <c r="AJ76" s="87" t="s">
        <v>272</v>
      </c>
      <c r="AK76" s="87" t="s">
        <v>272</v>
      </c>
      <c r="AL76" s="87" t="s">
        <v>272</v>
      </c>
      <c r="AM76" s="87" t="s">
        <v>272</v>
      </c>
      <c r="AN76" s="87" t="s">
        <v>272</v>
      </c>
      <c r="AO76" s="87" t="s">
        <v>273</v>
      </c>
      <c r="AP76" s="89">
        <v>0</v>
      </c>
      <c r="AQ76" s="89">
        <v>0</v>
      </c>
      <c r="AR76" s="89">
        <v>0.2</v>
      </c>
      <c r="AS76" s="89">
        <v>0</v>
      </c>
      <c r="AT76" s="89">
        <v>0</v>
      </c>
      <c r="AU76" s="89">
        <v>0</v>
      </c>
      <c r="AV76" s="89">
        <v>0</v>
      </c>
      <c r="AW76" s="89">
        <v>0</v>
      </c>
      <c r="AX76" s="89">
        <v>0</v>
      </c>
      <c r="AY76" s="87" t="s">
        <v>274</v>
      </c>
    </row>
    <row r="77" s="82" customFormat="1" ht="19.5" spans="1:51">
      <c r="A77" s="87" t="s">
        <v>456</v>
      </c>
      <c r="B77" s="87" t="s">
        <v>420</v>
      </c>
      <c r="C77" s="87" t="s">
        <v>268</v>
      </c>
      <c r="D77" s="87" t="s">
        <v>421</v>
      </c>
      <c r="E77" s="87" t="s">
        <v>421</v>
      </c>
      <c r="F77" s="87" t="s">
        <v>270</v>
      </c>
      <c r="G77" s="87" t="s">
        <v>417</v>
      </c>
      <c r="H77" s="89">
        <v>150</v>
      </c>
      <c r="I77" s="89">
        <v>800</v>
      </c>
      <c r="J77" s="89">
        <v>0</v>
      </c>
      <c r="K77" s="89">
        <v>0</v>
      </c>
      <c r="L77" s="89">
        <v>0</v>
      </c>
      <c r="M77" s="89">
        <v>0</v>
      </c>
      <c r="N77" s="89">
        <v>0</v>
      </c>
      <c r="O77" s="89">
        <v>0</v>
      </c>
      <c r="P77" s="89">
        <v>0</v>
      </c>
      <c r="Q77" s="89">
        <v>0</v>
      </c>
      <c r="R77" s="89">
        <v>0</v>
      </c>
      <c r="S77" s="89">
        <v>0</v>
      </c>
      <c r="T77" s="89">
        <v>0</v>
      </c>
      <c r="U77" s="87" t="s">
        <v>272</v>
      </c>
      <c r="V77" s="87" t="s">
        <v>272</v>
      </c>
      <c r="W77" s="87" t="s">
        <v>272</v>
      </c>
      <c r="X77" s="87" t="s">
        <v>272</v>
      </c>
      <c r="Y77" s="87" t="s">
        <v>272</v>
      </c>
      <c r="Z77" s="87" t="s">
        <v>272</v>
      </c>
      <c r="AA77" s="87" t="s">
        <v>272</v>
      </c>
      <c r="AB77" s="87" t="s">
        <v>272</v>
      </c>
      <c r="AC77" s="89">
        <v>0</v>
      </c>
      <c r="AD77" s="87" t="s">
        <v>272</v>
      </c>
      <c r="AE77" s="87" t="s">
        <v>272</v>
      </c>
      <c r="AF77" s="87" t="s">
        <v>272</v>
      </c>
      <c r="AG77" s="87" t="s">
        <v>272</v>
      </c>
      <c r="AH77" s="87" t="s">
        <v>272</v>
      </c>
      <c r="AI77" s="87" t="s">
        <v>272</v>
      </c>
      <c r="AJ77" s="87" t="s">
        <v>272</v>
      </c>
      <c r="AK77" s="87" t="s">
        <v>272</v>
      </c>
      <c r="AL77" s="87" t="s">
        <v>272</v>
      </c>
      <c r="AM77" s="87" t="s">
        <v>272</v>
      </c>
      <c r="AN77" s="87" t="s">
        <v>272</v>
      </c>
      <c r="AO77" s="87" t="s">
        <v>273</v>
      </c>
      <c r="AP77" s="89">
        <v>0</v>
      </c>
      <c r="AQ77" s="89">
        <v>0</v>
      </c>
      <c r="AR77" s="89">
        <v>0.2</v>
      </c>
      <c r="AS77" s="89">
        <v>0</v>
      </c>
      <c r="AT77" s="89">
        <v>0</v>
      </c>
      <c r="AU77" s="89">
        <v>0</v>
      </c>
      <c r="AV77" s="89">
        <v>0</v>
      </c>
      <c r="AW77" s="89">
        <v>0</v>
      </c>
      <c r="AX77" s="89">
        <v>0</v>
      </c>
      <c r="AY77" s="87" t="s">
        <v>274</v>
      </c>
    </row>
    <row r="78" s="82" customFormat="1" ht="19.5" spans="1:51">
      <c r="A78" s="87" t="s">
        <v>457</v>
      </c>
      <c r="B78" s="87" t="s">
        <v>500</v>
      </c>
      <c r="C78" s="87" t="s">
        <v>268</v>
      </c>
      <c r="D78" s="87" t="s">
        <v>501</v>
      </c>
      <c r="E78" s="87" t="s">
        <v>501</v>
      </c>
      <c r="F78" s="87" t="s">
        <v>270</v>
      </c>
      <c r="G78" s="87" t="s">
        <v>417</v>
      </c>
      <c r="H78" s="89">
        <v>800</v>
      </c>
      <c r="I78" s="89">
        <v>800</v>
      </c>
      <c r="J78" s="89">
        <v>0</v>
      </c>
      <c r="K78" s="89">
        <v>0</v>
      </c>
      <c r="L78" s="89">
        <v>0</v>
      </c>
      <c r="M78" s="89">
        <v>0</v>
      </c>
      <c r="N78" s="89">
        <v>0</v>
      </c>
      <c r="O78" s="89">
        <v>0</v>
      </c>
      <c r="P78" s="89">
        <v>0</v>
      </c>
      <c r="Q78" s="89">
        <v>0</v>
      </c>
      <c r="R78" s="89">
        <v>0</v>
      </c>
      <c r="S78" s="89">
        <v>0</v>
      </c>
      <c r="T78" s="89">
        <v>0</v>
      </c>
      <c r="U78" s="87" t="s">
        <v>272</v>
      </c>
      <c r="V78" s="87" t="s">
        <v>272</v>
      </c>
      <c r="W78" s="87" t="s">
        <v>272</v>
      </c>
      <c r="X78" s="87" t="s">
        <v>272</v>
      </c>
      <c r="Y78" s="87" t="s">
        <v>272</v>
      </c>
      <c r="Z78" s="87" t="s">
        <v>272</v>
      </c>
      <c r="AA78" s="87" t="s">
        <v>272</v>
      </c>
      <c r="AB78" s="87" t="s">
        <v>272</v>
      </c>
      <c r="AC78" s="89">
        <v>0</v>
      </c>
      <c r="AD78" s="87" t="s">
        <v>272</v>
      </c>
      <c r="AE78" s="87" t="s">
        <v>272</v>
      </c>
      <c r="AF78" s="87" t="s">
        <v>272</v>
      </c>
      <c r="AG78" s="87" t="s">
        <v>272</v>
      </c>
      <c r="AH78" s="87" t="s">
        <v>272</v>
      </c>
      <c r="AI78" s="87" t="s">
        <v>272</v>
      </c>
      <c r="AJ78" s="87" t="s">
        <v>272</v>
      </c>
      <c r="AK78" s="87" t="s">
        <v>272</v>
      </c>
      <c r="AL78" s="87" t="s">
        <v>272</v>
      </c>
      <c r="AM78" s="87" t="s">
        <v>272</v>
      </c>
      <c r="AN78" s="87" t="s">
        <v>272</v>
      </c>
      <c r="AO78" s="87" t="s">
        <v>273</v>
      </c>
      <c r="AP78" s="89">
        <v>0</v>
      </c>
      <c r="AQ78" s="89">
        <v>0</v>
      </c>
      <c r="AR78" s="89">
        <v>0.2</v>
      </c>
      <c r="AS78" s="89">
        <v>0</v>
      </c>
      <c r="AT78" s="89">
        <v>0</v>
      </c>
      <c r="AU78" s="89">
        <v>0</v>
      </c>
      <c r="AV78" s="89">
        <v>0</v>
      </c>
      <c r="AW78" s="89">
        <v>0</v>
      </c>
      <c r="AX78" s="89">
        <v>0</v>
      </c>
      <c r="AY78" s="87" t="s">
        <v>274</v>
      </c>
    </row>
    <row r="79" s="82" customFormat="1" ht="19.5" spans="1:51">
      <c r="A79" s="87" t="s">
        <v>458</v>
      </c>
      <c r="B79" s="87" t="s">
        <v>502</v>
      </c>
      <c r="C79" s="87" t="s">
        <v>268</v>
      </c>
      <c r="D79" s="87" t="s">
        <v>503</v>
      </c>
      <c r="E79" s="87" t="s">
        <v>503</v>
      </c>
      <c r="F79" s="87" t="s">
        <v>270</v>
      </c>
      <c r="G79" s="87" t="s">
        <v>417</v>
      </c>
      <c r="H79" s="89">
        <v>800</v>
      </c>
      <c r="I79" s="89">
        <v>800</v>
      </c>
      <c r="J79" s="89">
        <v>0</v>
      </c>
      <c r="K79" s="89">
        <v>0</v>
      </c>
      <c r="L79" s="89">
        <v>0</v>
      </c>
      <c r="M79" s="89">
        <v>0</v>
      </c>
      <c r="N79" s="89">
        <v>0</v>
      </c>
      <c r="O79" s="89">
        <v>0</v>
      </c>
      <c r="P79" s="89">
        <v>0</v>
      </c>
      <c r="Q79" s="89">
        <v>0</v>
      </c>
      <c r="R79" s="89">
        <v>0</v>
      </c>
      <c r="S79" s="89">
        <v>0</v>
      </c>
      <c r="T79" s="89">
        <v>0</v>
      </c>
      <c r="U79" s="87" t="s">
        <v>272</v>
      </c>
      <c r="V79" s="87" t="s">
        <v>272</v>
      </c>
      <c r="W79" s="87" t="s">
        <v>272</v>
      </c>
      <c r="X79" s="87" t="s">
        <v>272</v>
      </c>
      <c r="Y79" s="87" t="s">
        <v>272</v>
      </c>
      <c r="Z79" s="87" t="s">
        <v>272</v>
      </c>
      <c r="AA79" s="87" t="s">
        <v>272</v>
      </c>
      <c r="AB79" s="87" t="s">
        <v>272</v>
      </c>
      <c r="AC79" s="89">
        <v>0</v>
      </c>
      <c r="AD79" s="87" t="s">
        <v>272</v>
      </c>
      <c r="AE79" s="87" t="s">
        <v>272</v>
      </c>
      <c r="AF79" s="87" t="s">
        <v>272</v>
      </c>
      <c r="AG79" s="87" t="s">
        <v>272</v>
      </c>
      <c r="AH79" s="87" t="s">
        <v>272</v>
      </c>
      <c r="AI79" s="87" t="s">
        <v>272</v>
      </c>
      <c r="AJ79" s="87" t="s">
        <v>272</v>
      </c>
      <c r="AK79" s="87" t="s">
        <v>272</v>
      </c>
      <c r="AL79" s="87" t="s">
        <v>272</v>
      </c>
      <c r="AM79" s="87" t="s">
        <v>272</v>
      </c>
      <c r="AN79" s="87" t="s">
        <v>272</v>
      </c>
      <c r="AO79" s="87" t="s">
        <v>273</v>
      </c>
      <c r="AP79" s="89">
        <v>0</v>
      </c>
      <c r="AQ79" s="89">
        <v>0</v>
      </c>
      <c r="AR79" s="89">
        <v>0.2</v>
      </c>
      <c r="AS79" s="89">
        <v>0</v>
      </c>
      <c r="AT79" s="89">
        <v>0</v>
      </c>
      <c r="AU79" s="89">
        <v>0</v>
      </c>
      <c r="AV79" s="89">
        <v>0</v>
      </c>
      <c r="AW79" s="89">
        <v>0</v>
      </c>
      <c r="AX79" s="89">
        <v>0</v>
      </c>
      <c r="AY79" s="87" t="s">
        <v>274</v>
      </c>
    </row>
    <row r="80" s="82" customFormat="1" customHeight="1" spans="1:51">
      <c r="A80" s="87" t="s">
        <v>437</v>
      </c>
      <c r="B80" s="87" t="s">
        <v>347</v>
      </c>
      <c r="C80" s="87" t="s">
        <v>268</v>
      </c>
      <c r="D80" s="87" t="s">
        <v>348</v>
      </c>
      <c r="E80" s="87" t="s">
        <v>348</v>
      </c>
      <c r="F80" s="87" t="s">
        <v>270</v>
      </c>
      <c r="G80" s="88" t="s">
        <v>271</v>
      </c>
      <c r="H80" s="89">
        <v>7970.02</v>
      </c>
      <c r="I80" s="89">
        <v>0</v>
      </c>
      <c r="J80" s="89">
        <v>0</v>
      </c>
      <c r="K80" s="89">
        <v>5000</v>
      </c>
      <c r="L80" s="89">
        <v>382</v>
      </c>
      <c r="M80" s="89">
        <v>134.54</v>
      </c>
      <c r="N80" s="89">
        <v>5.04</v>
      </c>
      <c r="O80" s="89">
        <v>352</v>
      </c>
      <c r="P80" s="89">
        <v>0</v>
      </c>
      <c r="Q80" s="89">
        <v>0</v>
      </c>
      <c r="R80" s="89">
        <v>0</v>
      </c>
      <c r="S80" s="89">
        <v>0</v>
      </c>
      <c r="T80" s="89">
        <v>0</v>
      </c>
      <c r="U80" s="89">
        <v>0</v>
      </c>
      <c r="V80" s="89">
        <v>0</v>
      </c>
      <c r="W80" s="89">
        <v>0</v>
      </c>
      <c r="X80" s="87" t="s">
        <v>272</v>
      </c>
      <c r="Y80" s="89">
        <v>0</v>
      </c>
      <c r="Z80" s="87" t="s">
        <v>272</v>
      </c>
      <c r="AA80" s="87" t="s">
        <v>272</v>
      </c>
      <c r="AB80" s="87" t="s">
        <v>272</v>
      </c>
      <c r="AC80" s="89">
        <v>0</v>
      </c>
      <c r="AD80" s="89">
        <v>55391.21</v>
      </c>
      <c r="AE80" s="89">
        <v>35000</v>
      </c>
      <c r="AF80" s="89">
        <v>6115.18</v>
      </c>
      <c r="AG80" s="89">
        <v>0</v>
      </c>
      <c r="AH80" s="89">
        <v>0</v>
      </c>
      <c r="AI80" s="89">
        <v>0</v>
      </c>
      <c r="AJ80" s="89">
        <v>0</v>
      </c>
      <c r="AK80" s="89">
        <v>0</v>
      </c>
      <c r="AL80" s="89">
        <v>0</v>
      </c>
      <c r="AM80" s="89">
        <v>0</v>
      </c>
      <c r="AN80" s="89">
        <v>0</v>
      </c>
      <c r="AO80" s="87" t="s">
        <v>273</v>
      </c>
      <c r="AP80" s="89">
        <v>0</v>
      </c>
      <c r="AQ80" s="89">
        <v>14276.03</v>
      </c>
      <c r="AR80" s="89">
        <v>0.03</v>
      </c>
      <c r="AS80" s="89">
        <v>0</v>
      </c>
      <c r="AT80" s="89">
        <v>428.28</v>
      </c>
      <c r="AU80" s="89">
        <v>0</v>
      </c>
      <c r="AV80" s="89">
        <v>0</v>
      </c>
      <c r="AW80" s="89">
        <v>365.39</v>
      </c>
      <c r="AX80" s="89">
        <v>62.89</v>
      </c>
      <c r="AY80" s="87" t="s">
        <v>274</v>
      </c>
    </row>
    <row r="81" s="82" customFormat="1" customHeight="1" spans="1:51">
      <c r="A81" s="87" t="s">
        <v>439</v>
      </c>
      <c r="B81" s="87" t="s">
        <v>343</v>
      </c>
      <c r="C81" s="87" t="s">
        <v>268</v>
      </c>
      <c r="D81" s="87" t="s">
        <v>344</v>
      </c>
      <c r="E81" s="87" t="s">
        <v>344</v>
      </c>
      <c r="F81" s="87" t="s">
        <v>270</v>
      </c>
      <c r="G81" s="87" t="s">
        <v>271</v>
      </c>
      <c r="H81" s="89">
        <v>3145.06</v>
      </c>
      <c r="I81" s="89">
        <v>0</v>
      </c>
      <c r="J81" s="89">
        <v>0</v>
      </c>
      <c r="K81" s="89">
        <v>5000</v>
      </c>
      <c r="L81" s="89">
        <v>382</v>
      </c>
      <c r="M81" s="89">
        <v>134.54</v>
      </c>
      <c r="N81" s="89">
        <v>5.04</v>
      </c>
      <c r="O81" s="89">
        <v>126</v>
      </c>
      <c r="P81" s="89">
        <v>0</v>
      </c>
      <c r="Q81" s="89">
        <v>0</v>
      </c>
      <c r="R81" s="89">
        <v>0</v>
      </c>
      <c r="S81" s="89">
        <v>0</v>
      </c>
      <c r="T81" s="89">
        <v>0</v>
      </c>
      <c r="U81" s="89">
        <v>0</v>
      </c>
      <c r="V81" s="89">
        <v>0</v>
      </c>
      <c r="W81" s="89">
        <v>0</v>
      </c>
      <c r="X81" s="87" t="s">
        <v>272</v>
      </c>
      <c r="Y81" s="89">
        <v>0</v>
      </c>
      <c r="Z81" s="87" t="s">
        <v>272</v>
      </c>
      <c r="AA81" s="87" t="s">
        <v>272</v>
      </c>
      <c r="AB81" s="87" t="s">
        <v>272</v>
      </c>
      <c r="AC81" s="89">
        <v>0</v>
      </c>
      <c r="AD81" s="89">
        <v>22222.22</v>
      </c>
      <c r="AE81" s="89">
        <v>35000</v>
      </c>
      <c r="AF81" s="89">
        <v>4533.18</v>
      </c>
      <c r="AG81" s="89">
        <v>0</v>
      </c>
      <c r="AH81" s="89">
        <v>0</v>
      </c>
      <c r="AI81" s="89">
        <v>0</v>
      </c>
      <c r="AJ81" s="89">
        <v>0</v>
      </c>
      <c r="AK81" s="89">
        <v>0</v>
      </c>
      <c r="AL81" s="89">
        <v>0</v>
      </c>
      <c r="AM81" s="89">
        <v>0</v>
      </c>
      <c r="AN81" s="89">
        <v>0</v>
      </c>
      <c r="AO81" s="87" t="s">
        <v>273</v>
      </c>
      <c r="AP81" s="89">
        <v>0</v>
      </c>
      <c r="AQ81" s="89">
        <v>0</v>
      </c>
      <c r="AR81" s="89">
        <v>0.03</v>
      </c>
      <c r="AS81" s="89">
        <v>0</v>
      </c>
      <c r="AT81" s="89">
        <v>0</v>
      </c>
      <c r="AU81" s="89">
        <v>0</v>
      </c>
      <c r="AV81" s="89">
        <v>0</v>
      </c>
      <c r="AW81" s="89">
        <v>0</v>
      </c>
      <c r="AX81" s="89">
        <v>0</v>
      </c>
      <c r="AY81" s="87" t="s">
        <v>274</v>
      </c>
    </row>
    <row r="82" s="82" customFormat="1" customHeight="1" spans="1:51">
      <c r="A82" s="87" t="s">
        <v>438</v>
      </c>
      <c r="B82" s="87" t="s">
        <v>287</v>
      </c>
      <c r="C82" s="87" t="s">
        <v>268</v>
      </c>
      <c r="D82" s="87" t="s">
        <v>288</v>
      </c>
      <c r="E82" s="87" t="s">
        <v>288</v>
      </c>
      <c r="F82" s="87" t="s">
        <v>270</v>
      </c>
      <c r="G82" s="87" t="s">
        <v>271</v>
      </c>
      <c r="H82" s="89">
        <v>19494.69</v>
      </c>
      <c r="I82" s="89">
        <v>0</v>
      </c>
      <c r="J82" s="89">
        <v>0</v>
      </c>
      <c r="K82" s="89">
        <v>5000</v>
      </c>
      <c r="L82" s="89">
        <v>1799.04</v>
      </c>
      <c r="M82" s="89">
        <v>456.76</v>
      </c>
      <c r="N82" s="89">
        <v>67.46</v>
      </c>
      <c r="O82" s="89">
        <v>1191.65</v>
      </c>
      <c r="P82" s="89">
        <v>0</v>
      </c>
      <c r="Q82" s="89">
        <v>0</v>
      </c>
      <c r="R82" s="89">
        <v>0</v>
      </c>
      <c r="S82" s="89">
        <v>0</v>
      </c>
      <c r="T82" s="89">
        <v>0</v>
      </c>
      <c r="U82" s="89">
        <v>0</v>
      </c>
      <c r="V82" s="89">
        <v>0</v>
      </c>
      <c r="W82" s="89">
        <v>0</v>
      </c>
      <c r="X82" s="87" t="s">
        <v>272</v>
      </c>
      <c r="Y82" s="89">
        <v>0</v>
      </c>
      <c r="Z82" s="87" t="s">
        <v>272</v>
      </c>
      <c r="AA82" s="87" t="s">
        <v>272</v>
      </c>
      <c r="AB82" s="87" t="s">
        <v>272</v>
      </c>
      <c r="AC82" s="89">
        <v>0</v>
      </c>
      <c r="AD82" s="89">
        <v>147222.56</v>
      </c>
      <c r="AE82" s="89">
        <v>35000</v>
      </c>
      <c r="AF82" s="89">
        <v>25014.85</v>
      </c>
      <c r="AG82" s="89">
        <v>0</v>
      </c>
      <c r="AH82" s="89">
        <v>0</v>
      </c>
      <c r="AI82" s="89">
        <v>0</v>
      </c>
      <c r="AJ82" s="89">
        <v>10500</v>
      </c>
      <c r="AK82" s="89">
        <v>0</v>
      </c>
      <c r="AL82" s="89">
        <v>0</v>
      </c>
      <c r="AM82" s="89">
        <v>0</v>
      </c>
      <c r="AN82" s="89">
        <v>0</v>
      </c>
      <c r="AO82" s="87" t="s">
        <v>273</v>
      </c>
      <c r="AP82" s="89">
        <v>0</v>
      </c>
      <c r="AQ82" s="89">
        <v>76707.71</v>
      </c>
      <c r="AR82" s="89">
        <v>0.1</v>
      </c>
      <c r="AS82" s="89">
        <v>2520</v>
      </c>
      <c r="AT82" s="89">
        <v>5150.77</v>
      </c>
      <c r="AU82" s="89">
        <v>0</v>
      </c>
      <c r="AV82" s="89">
        <v>0</v>
      </c>
      <c r="AW82" s="89">
        <v>4202.79</v>
      </c>
      <c r="AX82" s="89">
        <v>947.98</v>
      </c>
      <c r="AY82" s="87" t="s">
        <v>274</v>
      </c>
    </row>
    <row r="83" s="82" customFormat="1" customHeight="1" spans="1:51">
      <c r="A83" s="87" t="s">
        <v>439</v>
      </c>
      <c r="B83" s="87" t="s">
        <v>305</v>
      </c>
      <c r="C83" s="87" t="s">
        <v>268</v>
      </c>
      <c r="D83" s="87" t="s">
        <v>306</v>
      </c>
      <c r="E83" s="87" t="s">
        <v>306</v>
      </c>
      <c r="F83" s="87" t="s">
        <v>270</v>
      </c>
      <c r="G83" s="87" t="s">
        <v>271</v>
      </c>
      <c r="H83" s="89">
        <v>12378</v>
      </c>
      <c r="I83" s="89">
        <v>0</v>
      </c>
      <c r="J83" s="89">
        <v>0</v>
      </c>
      <c r="K83" s="89">
        <v>5000</v>
      </c>
      <c r="L83" s="89">
        <v>1200</v>
      </c>
      <c r="M83" s="89">
        <v>307</v>
      </c>
      <c r="N83" s="89">
        <v>45</v>
      </c>
      <c r="O83" s="89">
        <v>750</v>
      </c>
      <c r="P83" s="89">
        <v>0</v>
      </c>
      <c r="Q83" s="89">
        <v>0</v>
      </c>
      <c r="R83" s="89">
        <v>0</v>
      </c>
      <c r="S83" s="89">
        <v>0</v>
      </c>
      <c r="T83" s="89">
        <v>0</v>
      </c>
      <c r="U83" s="89">
        <v>0</v>
      </c>
      <c r="V83" s="89">
        <v>0</v>
      </c>
      <c r="W83" s="89">
        <v>0</v>
      </c>
      <c r="X83" s="87" t="s">
        <v>272</v>
      </c>
      <c r="Y83" s="89">
        <v>0</v>
      </c>
      <c r="Z83" s="87" t="s">
        <v>272</v>
      </c>
      <c r="AA83" s="87" t="s">
        <v>272</v>
      </c>
      <c r="AB83" s="87" t="s">
        <v>272</v>
      </c>
      <c r="AC83" s="89">
        <v>0</v>
      </c>
      <c r="AD83" s="89">
        <v>86315.46</v>
      </c>
      <c r="AE83" s="89">
        <v>35000</v>
      </c>
      <c r="AF83" s="89">
        <v>16114</v>
      </c>
      <c r="AG83" s="89">
        <v>7000</v>
      </c>
      <c r="AH83" s="89">
        <v>21000</v>
      </c>
      <c r="AI83" s="89">
        <v>0</v>
      </c>
      <c r="AJ83" s="89">
        <v>0</v>
      </c>
      <c r="AK83" s="89">
        <v>0</v>
      </c>
      <c r="AL83" s="89">
        <v>0</v>
      </c>
      <c r="AM83" s="89">
        <v>0</v>
      </c>
      <c r="AN83" s="89">
        <v>0</v>
      </c>
      <c r="AO83" s="87" t="s">
        <v>273</v>
      </c>
      <c r="AP83" s="89">
        <v>0</v>
      </c>
      <c r="AQ83" s="89">
        <v>7201.46</v>
      </c>
      <c r="AR83" s="89">
        <v>0.03</v>
      </c>
      <c r="AS83" s="89">
        <v>0</v>
      </c>
      <c r="AT83" s="89">
        <v>216.04</v>
      </c>
      <c r="AU83" s="89">
        <v>0</v>
      </c>
      <c r="AV83" s="89">
        <v>0</v>
      </c>
      <c r="AW83" s="89">
        <v>422.82</v>
      </c>
      <c r="AX83" s="89">
        <v>0</v>
      </c>
      <c r="AY83" s="87" t="s">
        <v>274</v>
      </c>
    </row>
  </sheetData>
  <mergeCells count="31">
    <mergeCell ref="H1:AC1"/>
    <mergeCell ref="AD1:AN1"/>
    <mergeCell ref="AQ1:AX1"/>
    <mergeCell ref="H2:J2"/>
    <mergeCell ref="L2:O2"/>
    <mergeCell ref="P2:AC2"/>
    <mergeCell ref="AG2:AL2"/>
    <mergeCell ref="A1:A3"/>
    <mergeCell ref="B1:B3"/>
    <mergeCell ref="C1:C3"/>
    <mergeCell ref="D1:D3"/>
    <mergeCell ref="E1:E3"/>
    <mergeCell ref="F1:F3"/>
    <mergeCell ref="G1:G3"/>
    <mergeCell ref="K2:K3"/>
    <mergeCell ref="AD2:AD3"/>
    <mergeCell ref="AE2:AE3"/>
    <mergeCell ref="AF2:AF3"/>
    <mergeCell ref="AM2:AM3"/>
    <mergeCell ref="AN2:AN3"/>
    <mergeCell ref="AO1:AO3"/>
    <mergeCell ref="AP1:AP3"/>
    <mergeCell ref="AQ2:AQ3"/>
    <mergeCell ref="AR2:AR3"/>
    <mergeCell ref="AS2:AS3"/>
    <mergeCell ref="AT2:AT3"/>
    <mergeCell ref="AU2:AU3"/>
    <mergeCell ref="AV2:AV3"/>
    <mergeCell ref="AW2:AW3"/>
    <mergeCell ref="AX2:AX3"/>
    <mergeCell ref="AY1:AY3"/>
  </mergeCells>
  <dataValidations count="2">
    <dataValidation allowBlank="1" showInputMessage="1" showErrorMessage="1" prompt="填报综合所得的个人，系统默认为居民个人，请核对。" sqref="F1:F10 F59:F64 F80:F83"/>
    <dataValidation allowBlank="1" showInputMessage="1" showErrorMessage="1" prompt="累计收入额=累计收入-累计费用-累计免税收入" sqref="AD2:AD11 AD59:AD65 AD80:AD83"/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G31"/>
  <sheetViews>
    <sheetView workbookViewId="0">
      <selection activeCell="B13" sqref="B11:B13"/>
    </sheetView>
  </sheetViews>
  <sheetFormatPr defaultColWidth="9" defaultRowHeight="13.5" outlineLevelCol="6"/>
  <cols>
    <col min="1" max="1" width="7" customWidth="1"/>
    <col min="2" max="2" width="11.5044247787611" customWidth="1"/>
    <col min="3" max="3" width="12.8761061946903" customWidth="1"/>
    <col min="6" max="6" width="11.5044247787611" customWidth="1"/>
    <col min="7" max="7" width="10.8761061946903" customWidth="1"/>
  </cols>
  <sheetData>
    <row r="1" ht="13.9" spans="1:7">
      <c r="A1" s="75" t="s">
        <v>504</v>
      </c>
      <c r="B1" s="76" t="s">
        <v>505</v>
      </c>
      <c r="C1" s="75" t="s">
        <v>506</v>
      </c>
      <c r="D1" s="77"/>
      <c r="F1" s="78" t="s">
        <v>507</v>
      </c>
      <c r="G1" s="79" t="s">
        <v>506</v>
      </c>
    </row>
    <row r="2" spans="1:7">
      <c r="A2" s="75" t="s">
        <v>508</v>
      </c>
      <c r="B2" s="76">
        <v>46023</v>
      </c>
      <c r="C2" s="75" t="s">
        <v>509</v>
      </c>
      <c r="D2" s="77"/>
      <c r="F2" s="76">
        <v>46026</v>
      </c>
      <c r="G2" s="80" t="s">
        <v>510</v>
      </c>
    </row>
    <row r="3" spans="1:7">
      <c r="A3" s="75" t="s">
        <v>508</v>
      </c>
      <c r="B3" s="76">
        <v>46024</v>
      </c>
      <c r="C3" s="75" t="s">
        <v>509</v>
      </c>
      <c r="D3" s="77"/>
      <c r="F3" s="76">
        <v>46067</v>
      </c>
      <c r="G3" s="80" t="s">
        <v>511</v>
      </c>
    </row>
    <row r="4" spans="1:7">
      <c r="A4" s="75" t="s">
        <v>508</v>
      </c>
      <c r="B4" s="76">
        <v>46025</v>
      </c>
      <c r="C4" s="75" t="s">
        <v>509</v>
      </c>
      <c r="D4" s="77"/>
      <c r="F4" s="76">
        <v>46081</v>
      </c>
      <c r="G4" s="80" t="s">
        <v>511</v>
      </c>
    </row>
    <row r="5" spans="1:7">
      <c r="A5" s="75" t="s">
        <v>512</v>
      </c>
      <c r="B5" s="76">
        <v>46069</v>
      </c>
      <c r="C5" s="75" t="s">
        <v>513</v>
      </c>
      <c r="D5" s="77"/>
      <c r="F5" s="76">
        <v>46151</v>
      </c>
      <c r="G5" s="80" t="s">
        <v>514</v>
      </c>
    </row>
    <row r="6" spans="1:7">
      <c r="A6" s="75" t="s">
        <v>512</v>
      </c>
      <c r="B6" s="76">
        <v>46070</v>
      </c>
      <c r="C6" s="75" t="s">
        <v>515</v>
      </c>
      <c r="D6" s="77"/>
      <c r="F6" s="76">
        <v>46285</v>
      </c>
      <c r="G6" s="80" t="s">
        <v>516</v>
      </c>
    </row>
    <row r="7" spans="1:7">
      <c r="A7" s="75" t="s">
        <v>512</v>
      </c>
      <c r="B7" s="76">
        <v>46071</v>
      </c>
      <c r="C7" s="75" t="s">
        <v>517</v>
      </c>
      <c r="D7" s="77"/>
      <c r="F7" s="76">
        <v>46305</v>
      </c>
      <c r="G7" s="80" t="s">
        <v>516</v>
      </c>
    </row>
    <row r="8" spans="1:7">
      <c r="A8" s="75" t="s">
        <v>512</v>
      </c>
      <c r="B8" s="76">
        <v>46072</v>
      </c>
      <c r="C8" s="75" t="s">
        <v>518</v>
      </c>
      <c r="D8" s="77"/>
      <c r="F8" s="81"/>
    </row>
    <row r="9" spans="1:7">
      <c r="A9" s="75" t="s">
        <v>512</v>
      </c>
      <c r="B9" s="76">
        <v>46073</v>
      </c>
      <c r="C9" s="75" t="s">
        <v>519</v>
      </c>
      <c r="D9" s="77"/>
      <c r="F9" s="81"/>
    </row>
    <row r="10" spans="1:7">
      <c r="A10" s="75" t="s">
        <v>512</v>
      </c>
      <c r="B10" s="76">
        <v>46076</v>
      </c>
      <c r="C10" s="75" t="s">
        <v>520</v>
      </c>
      <c r="D10" s="77"/>
      <c r="F10" s="81"/>
    </row>
    <row r="11" spans="1:7">
      <c r="A11" s="75" t="s">
        <v>521</v>
      </c>
      <c r="B11" s="76">
        <v>46116</v>
      </c>
      <c r="C11" s="75" t="s">
        <v>509</v>
      </c>
      <c r="D11" s="77"/>
      <c r="F11" s="81"/>
    </row>
    <row r="12" spans="1:7">
      <c r="A12" s="75" t="s">
        <v>521</v>
      </c>
      <c r="B12" s="76">
        <v>46117</v>
      </c>
      <c r="C12" s="75" t="s">
        <v>509</v>
      </c>
      <c r="D12" s="77"/>
      <c r="F12" s="81"/>
    </row>
    <row r="13" spans="1:7">
      <c r="A13" s="75" t="s">
        <v>521</v>
      </c>
      <c r="B13" s="76">
        <v>46118</v>
      </c>
      <c r="C13" s="75" t="s">
        <v>509</v>
      </c>
      <c r="D13" s="77"/>
      <c r="F13" s="81"/>
    </row>
    <row r="14" spans="1:7">
      <c r="A14" s="75" t="s">
        <v>522</v>
      </c>
      <c r="B14" s="76">
        <v>46143</v>
      </c>
      <c r="C14" s="75" t="s">
        <v>509</v>
      </c>
      <c r="D14" s="77"/>
      <c r="F14" s="81"/>
    </row>
    <row r="15" spans="1:7">
      <c r="A15" s="75" t="s">
        <v>522</v>
      </c>
      <c r="B15" s="76">
        <v>46144</v>
      </c>
      <c r="C15" s="75" t="s">
        <v>509</v>
      </c>
      <c r="D15" s="77"/>
      <c r="F15" s="81"/>
    </row>
    <row r="16" spans="1:7">
      <c r="A16" s="75" t="s">
        <v>522</v>
      </c>
      <c r="B16" s="76">
        <v>46145</v>
      </c>
      <c r="C16" s="75" t="s">
        <v>509</v>
      </c>
      <c r="D16" s="77"/>
      <c r="F16" s="81"/>
    </row>
    <row r="17" spans="1:6">
      <c r="A17" s="75" t="s">
        <v>522</v>
      </c>
      <c r="B17" s="76">
        <v>46146</v>
      </c>
      <c r="C17" s="75" t="s">
        <v>509</v>
      </c>
      <c r="D17" s="77"/>
      <c r="F17" s="81"/>
    </row>
    <row r="18" spans="1:6">
      <c r="A18" s="75" t="s">
        <v>522</v>
      </c>
      <c r="B18" s="76">
        <v>46147</v>
      </c>
      <c r="C18" s="75" t="s">
        <v>509</v>
      </c>
      <c r="D18" s="77"/>
      <c r="F18" s="81"/>
    </row>
    <row r="19" spans="1:6">
      <c r="A19" s="75" t="s">
        <v>523</v>
      </c>
      <c r="B19" s="76">
        <v>46192</v>
      </c>
      <c r="C19" s="75" t="s">
        <v>509</v>
      </c>
      <c r="D19" s="77"/>
      <c r="F19" s="81"/>
    </row>
    <row r="20" spans="1:6">
      <c r="A20" s="75" t="s">
        <v>523</v>
      </c>
      <c r="B20" s="76">
        <v>46193</v>
      </c>
      <c r="C20" s="75" t="s">
        <v>509</v>
      </c>
      <c r="D20" s="77"/>
      <c r="F20" s="81"/>
    </row>
    <row r="21" spans="1:6">
      <c r="A21" s="75" t="s">
        <v>523</v>
      </c>
      <c r="B21" s="76">
        <v>46194</v>
      </c>
      <c r="C21" s="75" t="s">
        <v>509</v>
      </c>
      <c r="D21" s="77"/>
      <c r="F21" s="81"/>
    </row>
    <row r="22" spans="1:6">
      <c r="A22" s="75" t="s">
        <v>524</v>
      </c>
      <c r="B22" s="76">
        <v>46290</v>
      </c>
      <c r="C22" s="75" t="s">
        <v>509</v>
      </c>
      <c r="D22" s="77"/>
      <c r="F22" s="81"/>
    </row>
    <row r="23" spans="1:6">
      <c r="A23" s="75" t="s">
        <v>524</v>
      </c>
      <c r="B23" s="76">
        <v>46291</v>
      </c>
      <c r="C23" s="75" t="s">
        <v>509</v>
      </c>
      <c r="D23" s="77"/>
      <c r="F23" s="81"/>
    </row>
    <row r="24" spans="1:6">
      <c r="A24" s="75" t="s">
        <v>524</v>
      </c>
      <c r="B24" s="76">
        <v>46292</v>
      </c>
      <c r="C24" s="75" t="s">
        <v>509</v>
      </c>
      <c r="D24" s="77"/>
      <c r="F24" s="81"/>
    </row>
    <row r="25" spans="1:6">
      <c r="A25" s="75" t="s">
        <v>525</v>
      </c>
      <c r="B25" s="76">
        <v>46296</v>
      </c>
      <c r="C25" s="75" t="s">
        <v>509</v>
      </c>
      <c r="D25" s="77"/>
      <c r="F25" s="81"/>
    </row>
    <row r="26" spans="1:6">
      <c r="A26" s="75" t="s">
        <v>525</v>
      </c>
      <c r="B26" s="76">
        <v>46297</v>
      </c>
      <c r="C26" s="75" t="s">
        <v>509</v>
      </c>
      <c r="D26" s="77"/>
      <c r="F26" s="81"/>
    </row>
    <row r="27" spans="1:6">
      <c r="A27" s="75" t="s">
        <v>525</v>
      </c>
      <c r="B27" s="76">
        <v>46298</v>
      </c>
      <c r="C27" s="75" t="s">
        <v>509</v>
      </c>
      <c r="D27" s="77"/>
      <c r="F27" s="81"/>
    </row>
    <row r="28" spans="1:6">
      <c r="A28" s="75" t="s">
        <v>525</v>
      </c>
      <c r="B28" s="76">
        <v>46299</v>
      </c>
      <c r="C28" s="75" t="s">
        <v>509</v>
      </c>
      <c r="D28" s="77"/>
      <c r="F28" s="81"/>
    </row>
    <row r="29" spans="1:6">
      <c r="A29" s="75" t="s">
        <v>525</v>
      </c>
      <c r="B29" s="76">
        <v>46300</v>
      </c>
      <c r="C29" s="75" t="s">
        <v>509</v>
      </c>
      <c r="D29" s="77"/>
      <c r="F29" s="81"/>
    </row>
    <row r="30" spans="1:6">
      <c r="A30" s="75" t="s">
        <v>525</v>
      </c>
      <c r="B30" s="76">
        <v>46301</v>
      </c>
      <c r="C30" s="75" t="s">
        <v>509</v>
      </c>
      <c r="D30" s="77"/>
      <c r="F30" s="81"/>
    </row>
    <row r="31" spans="1:6">
      <c r="A31" s="75" t="s">
        <v>525</v>
      </c>
      <c r="B31" s="76">
        <v>46302</v>
      </c>
      <c r="C31" s="75" t="s">
        <v>509</v>
      </c>
      <c r="D31" s="77"/>
      <c r="F31" s="81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zoomScaleSheetLayoutView="60" topLeftCell="A28" workbookViewId="0">
      <selection activeCell="F56" sqref="F56"/>
    </sheetView>
  </sheetViews>
  <sheetFormatPr defaultColWidth="7.61946902654867" defaultRowHeight="13.5"/>
  <cols>
    <col min="1" max="1" width="20.3716814159292" style="43" customWidth="1"/>
    <col min="2" max="2" width="5.12389380530973" style="43" customWidth="1"/>
    <col min="3" max="3" width="21.5044247787611" style="44" customWidth="1"/>
    <col min="4" max="4" width="21.5044247787611" style="43" customWidth="1"/>
    <col min="5" max="5" width="12.1150442477876" style="45" customWidth="1"/>
    <col min="6" max="6" width="11.7522123893805" style="46" customWidth="1"/>
    <col min="7" max="7" width="10.8672566371681" style="43" customWidth="1"/>
    <col min="8" max="8" width="11.7522123893805" style="47"/>
    <col min="9" max="9" width="9.6283185840708" style="47"/>
    <col min="10" max="16384" width="7.61946902654867" style="47"/>
  </cols>
  <sheetData>
    <row r="1" s="47" customFormat="1" spans="1:9">
      <c r="A1" s="64" t="s">
        <v>47</v>
      </c>
      <c r="B1" s="65" t="s">
        <v>526</v>
      </c>
      <c r="C1" s="66" t="s">
        <v>527</v>
      </c>
      <c r="D1" s="43" t="s">
        <v>528</v>
      </c>
      <c r="E1" s="64" t="s">
        <v>46</v>
      </c>
      <c r="F1" s="46" t="s">
        <v>10</v>
      </c>
      <c r="G1" s="43" t="s">
        <v>40</v>
      </c>
      <c r="I1" s="67"/>
    </row>
    <row r="2" s="47" customFormat="1" spans="1:9">
      <c r="A2" s="64" t="s">
        <v>276</v>
      </c>
      <c r="B2" s="65">
        <f>ROW()-1</f>
        <v>1</v>
      </c>
      <c r="C2" s="66" t="e">
        <f>VLOOKUP(A2&amp;"*",花名册!B:S,17,0)</f>
        <v>#N/A</v>
      </c>
      <c r="D2" s="43" t="e">
        <f>VLOOKUP(A2&amp;"*",花名册!B:S,18,0)</f>
        <v>#N/A</v>
      </c>
      <c r="E2" s="64" t="e">
        <f>IF(VLOOKUP(A2&amp;"*",花名册!B:C,2,0)="郭子轶","郭轶",VLOOKUP(A2&amp;"*",花名册!B:C,2,0))</f>
        <v>#N/A</v>
      </c>
      <c r="F2" s="46" t="e">
        <f>VLOOKUP(A2&amp;"*",工资表明细!D:AX,47,0)</f>
        <v>#N/A</v>
      </c>
      <c r="G2" s="43"/>
      <c r="I2" s="67"/>
    </row>
    <row r="3" s="47" customFormat="1" spans="1:9">
      <c r="A3" s="64" t="s">
        <v>280</v>
      </c>
      <c r="B3" s="65">
        <f t="shared" ref="B3:B11" si="0">ROW()-1</f>
        <v>2</v>
      </c>
      <c r="C3" s="66" t="e">
        <f>VLOOKUP(A3&amp;"*",花名册!B:S,17,0)</f>
        <v>#N/A</v>
      </c>
      <c r="D3" s="43" t="e">
        <f>VLOOKUP(A3&amp;"*",花名册!B:S,18,0)</f>
        <v>#N/A</v>
      </c>
      <c r="E3" s="64" t="e">
        <f>IF(VLOOKUP(A3&amp;"*",花名册!B:C,2,0)="郭子轶","郭轶",VLOOKUP(A3&amp;"*",花名册!B:C,2,0))</f>
        <v>#N/A</v>
      </c>
      <c r="F3" s="46" t="e">
        <f>VLOOKUP(A3&amp;"*",工资表明细!D:AX,47,0)</f>
        <v>#N/A</v>
      </c>
      <c r="G3" s="43"/>
      <c r="I3" s="67"/>
    </row>
    <row r="4" s="47" customFormat="1" spans="1:9">
      <c r="A4" s="64" t="s">
        <v>282</v>
      </c>
      <c r="B4" s="65">
        <f t="shared" si="0"/>
        <v>3</v>
      </c>
      <c r="C4" s="66" t="e">
        <f>VLOOKUP(A4&amp;"*",花名册!B:S,17,0)</f>
        <v>#N/A</v>
      </c>
      <c r="D4" s="43" t="e">
        <f>VLOOKUP(A4&amp;"*",花名册!B:S,18,0)</f>
        <v>#N/A</v>
      </c>
      <c r="E4" s="64" t="e">
        <f>IF(VLOOKUP(A4&amp;"*",花名册!B:C,2,0)="郭子轶","郭轶",VLOOKUP(A4&amp;"*",花名册!B:C,2,0))</f>
        <v>#N/A</v>
      </c>
      <c r="F4" s="46" t="e">
        <f>VLOOKUP(A4&amp;"*",工资表明细!D:AX,47,0)</f>
        <v>#N/A</v>
      </c>
      <c r="G4" s="43"/>
      <c r="I4" s="67"/>
    </row>
    <row r="5" s="47" customFormat="1" spans="1:9">
      <c r="A5" s="64" t="s">
        <v>290</v>
      </c>
      <c r="B5" s="65">
        <f t="shared" si="0"/>
        <v>4</v>
      </c>
      <c r="C5" s="66" t="e">
        <f>VLOOKUP(A5&amp;"*",花名册!B:S,17,0)</f>
        <v>#N/A</v>
      </c>
      <c r="D5" s="43" t="e">
        <f>VLOOKUP(A5&amp;"*",花名册!B:S,18,0)</f>
        <v>#N/A</v>
      </c>
      <c r="E5" s="64" t="e">
        <f>IF(VLOOKUP(A5&amp;"*",花名册!B:C,2,0)="郭子轶","郭轶",VLOOKUP(A5&amp;"*",花名册!B:C,2,0))</f>
        <v>#N/A</v>
      </c>
      <c r="F5" s="46" t="e">
        <f>VLOOKUP(A5&amp;"*",工资表明细!D:AX,47,0)</f>
        <v>#N/A</v>
      </c>
      <c r="G5" s="43"/>
      <c r="I5" s="67"/>
    </row>
    <row r="6" s="47" customFormat="1" spans="1:9">
      <c r="A6" s="64" t="s">
        <v>292</v>
      </c>
      <c r="B6" s="65">
        <f t="shared" si="0"/>
        <v>5</v>
      </c>
      <c r="C6" s="66" t="e">
        <f>VLOOKUP(A6&amp;"*",花名册!B:S,17,0)</f>
        <v>#N/A</v>
      </c>
      <c r="D6" s="43" t="e">
        <f>VLOOKUP(A6&amp;"*",花名册!B:S,18,0)</f>
        <v>#N/A</v>
      </c>
      <c r="E6" s="64" t="e">
        <f>IF(VLOOKUP(A6&amp;"*",花名册!B:C,2,0)="郭子轶","郭轶",VLOOKUP(A6&amp;"*",花名册!B:C,2,0))</f>
        <v>#N/A</v>
      </c>
      <c r="F6" s="46" t="e">
        <f>VLOOKUP(A6&amp;"*",工资表明细!D:AX,47,0)</f>
        <v>#N/A</v>
      </c>
      <c r="G6" s="43"/>
      <c r="I6" s="67"/>
    </row>
    <row r="7" s="47" customFormat="1" spans="1:9">
      <c r="A7" s="64" t="s">
        <v>294</v>
      </c>
      <c r="B7" s="65">
        <f t="shared" si="0"/>
        <v>6</v>
      </c>
      <c r="C7" s="66" t="e">
        <f>VLOOKUP(A7&amp;"*",花名册!B:S,17,0)</f>
        <v>#N/A</v>
      </c>
      <c r="D7" s="43" t="e">
        <f>VLOOKUP(A7&amp;"*",花名册!B:S,18,0)</f>
        <v>#N/A</v>
      </c>
      <c r="E7" s="64" t="e">
        <f>IF(VLOOKUP(A7&amp;"*",花名册!B:C,2,0)="郭子轶","郭轶",VLOOKUP(A7&amp;"*",花名册!B:C,2,0))</f>
        <v>#N/A</v>
      </c>
      <c r="F7" s="46" t="e">
        <f>VLOOKUP(A7&amp;"*",工资表明细!D:AX,47,0)</f>
        <v>#N/A</v>
      </c>
      <c r="G7" s="43"/>
      <c r="I7" s="67"/>
    </row>
    <row r="8" s="47" customFormat="1" spans="1:9">
      <c r="A8" s="64" t="s">
        <v>296</v>
      </c>
      <c r="B8" s="65">
        <f t="shared" si="0"/>
        <v>7</v>
      </c>
      <c r="C8" s="66" t="e">
        <f>VLOOKUP(A8&amp;"*",花名册!B:S,17,0)</f>
        <v>#N/A</v>
      </c>
      <c r="D8" s="43" t="e">
        <f>VLOOKUP(A8&amp;"*",花名册!B:S,18,0)</f>
        <v>#N/A</v>
      </c>
      <c r="E8" s="64" t="e">
        <f>IF(VLOOKUP(A8&amp;"*",花名册!B:C,2,0)="郭子轶","郭轶",VLOOKUP(A8&amp;"*",花名册!B:C,2,0))</f>
        <v>#N/A</v>
      </c>
      <c r="F8" s="46" t="e">
        <f>VLOOKUP(A8&amp;"*",工资表明细!D:AX,47,0)</f>
        <v>#N/A</v>
      </c>
      <c r="G8" s="43"/>
      <c r="I8" s="67"/>
    </row>
    <row r="9" s="47" customFormat="1" spans="1:9">
      <c r="A9" s="64" t="s">
        <v>298</v>
      </c>
      <c r="B9" s="65">
        <f t="shared" si="0"/>
        <v>8</v>
      </c>
      <c r="C9" s="66" t="e">
        <f>VLOOKUP(A9&amp;"*",花名册!B:S,17,0)</f>
        <v>#N/A</v>
      </c>
      <c r="D9" s="43" t="e">
        <f>VLOOKUP(A9&amp;"*",花名册!B:S,18,0)</f>
        <v>#N/A</v>
      </c>
      <c r="E9" s="64" t="e">
        <f>IF(VLOOKUP(A9&amp;"*",花名册!B:C,2,0)="郭子轶","郭轶",VLOOKUP(A9&amp;"*",花名册!B:C,2,0))</f>
        <v>#N/A</v>
      </c>
      <c r="F9" s="46" t="e">
        <f>VLOOKUP(A9&amp;"*",工资表明细!D:AX,47,0)</f>
        <v>#N/A</v>
      </c>
      <c r="G9" s="43"/>
      <c r="I9" s="67"/>
    </row>
    <row r="10" s="47" customFormat="1" spans="1:9">
      <c r="A10" s="64" t="s">
        <v>300</v>
      </c>
      <c r="B10" s="65">
        <f t="shared" si="0"/>
        <v>9</v>
      </c>
      <c r="C10" s="66" t="e">
        <f>VLOOKUP(A10&amp;"*",花名册!B:S,17,0)</f>
        <v>#N/A</v>
      </c>
      <c r="D10" s="43" t="e">
        <f>VLOOKUP(A10&amp;"*",花名册!B:S,18,0)</f>
        <v>#N/A</v>
      </c>
      <c r="E10" s="64" t="e">
        <f>IF(VLOOKUP(A10&amp;"*",花名册!B:C,2,0)="郭子轶","郭轶",VLOOKUP(A10&amp;"*",花名册!B:C,2,0))</f>
        <v>#N/A</v>
      </c>
      <c r="F10" s="46" t="e">
        <f>VLOOKUP(A10&amp;"*",工资表明细!D:AX,47,0)</f>
        <v>#N/A</v>
      </c>
      <c r="G10" s="43"/>
      <c r="I10" s="67"/>
    </row>
    <row r="11" s="47" customFormat="1" spans="1:9">
      <c r="A11" s="64" t="s">
        <v>304</v>
      </c>
      <c r="B11" s="65">
        <f t="shared" si="0"/>
        <v>10</v>
      </c>
      <c r="C11" s="66" t="e">
        <f>VLOOKUP(A11&amp;"*",花名册!B:S,17,0)</f>
        <v>#N/A</v>
      </c>
      <c r="D11" s="43" t="e">
        <f>VLOOKUP(A11&amp;"*",花名册!B:S,18,0)</f>
        <v>#N/A</v>
      </c>
      <c r="E11" s="64" t="e">
        <f>IF(VLOOKUP(A11&amp;"*",花名册!B:C,2,0)="郭子轶","郭轶",VLOOKUP(A11&amp;"*",花名册!B:C,2,0))</f>
        <v>#N/A</v>
      </c>
      <c r="F11" s="46" t="e">
        <f>VLOOKUP(A11&amp;"*",工资表明细!D:AX,47,0)</f>
        <v>#N/A</v>
      </c>
      <c r="G11" s="43"/>
      <c r="I11" s="67"/>
    </row>
    <row r="12" s="47" customFormat="1" spans="1:9">
      <c r="A12" s="64" t="s">
        <v>308</v>
      </c>
      <c r="B12" s="65">
        <f t="shared" ref="B12:B21" si="1">ROW()-1</f>
        <v>11</v>
      </c>
      <c r="C12" s="66" t="e">
        <f>VLOOKUP(A12&amp;"*",花名册!B:S,17,0)</f>
        <v>#N/A</v>
      </c>
      <c r="D12" s="43" t="e">
        <f>VLOOKUP(A12&amp;"*",花名册!B:S,18,0)</f>
        <v>#N/A</v>
      </c>
      <c r="E12" s="64" t="e">
        <f>IF(VLOOKUP(A12&amp;"*",花名册!B:C,2,0)="郭子轶","郭轶",VLOOKUP(A12&amp;"*",花名册!B:C,2,0))</f>
        <v>#N/A</v>
      </c>
      <c r="F12" s="46" t="e">
        <f>VLOOKUP(A12&amp;"*",工资表明细!D:AX,47,0)</f>
        <v>#N/A</v>
      </c>
      <c r="G12" s="43"/>
      <c r="I12" s="67"/>
    </row>
    <row r="13" s="47" customFormat="1" spans="1:9">
      <c r="A13" s="225" t="s">
        <v>310</v>
      </c>
      <c r="B13" s="65">
        <f t="shared" si="1"/>
        <v>12</v>
      </c>
      <c r="C13" s="66" t="e">
        <f>VLOOKUP(A13&amp;"*",花名册!B:S,17,0)</f>
        <v>#N/A</v>
      </c>
      <c r="D13" s="43" t="e">
        <f>VLOOKUP(A13&amp;"*",花名册!B:S,18,0)</f>
        <v>#N/A</v>
      </c>
      <c r="E13" s="64" t="e">
        <f>IF(VLOOKUP(A13&amp;"*",花名册!B:C,2,0)="郭子轶","郭轶",VLOOKUP(A13&amp;"*",花名册!B:C,2,0))</f>
        <v>#N/A</v>
      </c>
      <c r="F13" s="46" t="e">
        <f>VLOOKUP(A13&amp;"*",工资表明细!D:AX,47,0)</f>
        <v>#N/A</v>
      </c>
      <c r="G13" s="43"/>
      <c r="I13" s="67"/>
    </row>
    <row r="14" s="47" customFormat="1" spans="1:9">
      <c r="A14" s="225" t="s">
        <v>312</v>
      </c>
      <c r="B14" s="65">
        <f t="shared" si="1"/>
        <v>13</v>
      </c>
      <c r="C14" s="66" t="e">
        <f>VLOOKUP(A14&amp;"*",花名册!B:S,17,0)</f>
        <v>#N/A</v>
      </c>
      <c r="D14" s="43" t="e">
        <f>VLOOKUP(A14&amp;"*",花名册!B:S,18,0)</f>
        <v>#N/A</v>
      </c>
      <c r="E14" s="64" t="e">
        <f>IF(VLOOKUP(A14&amp;"*",花名册!B:C,2,0)="郭子轶","郭轶",VLOOKUP(A14&amp;"*",花名册!B:C,2,0))</f>
        <v>#N/A</v>
      </c>
      <c r="F14" s="46" t="e">
        <f>VLOOKUP(A14&amp;"*",工资表明细!D:AX,47,0)</f>
        <v>#N/A</v>
      </c>
      <c r="G14" s="43"/>
      <c r="I14" s="67"/>
    </row>
    <row r="15" s="47" customFormat="1" spans="1:9">
      <c r="A15" s="64" t="s">
        <v>314</v>
      </c>
      <c r="B15" s="65">
        <f t="shared" si="1"/>
        <v>14</v>
      </c>
      <c r="C15" s="66" t="e">
        <f>VLOOKUP(A15&amp;"*",花名册!B:S,17,0)</f>
        <v>#N/A</v>
      </c>
      <c r="D15" s="43" t="e">
        <f>VLOOKUP(A15&amp;"*",花名册!B:S,18,0)</f>
        <v>#N/A</v>
      </c>
      <c r="E15" s="64" t="e">
        <f>IF(VLOOKUP(A15&amp;"*",花名册!B:C,2,0)="郭子轶","郭轶",VLOOKUP(A15&amp;"*",花名册!B:C,2,0))</f>
        <v>#N/A</v>
      </c>
      <c r="F15" s="46" t="e">
        <f>VLOOKUP(A15&amp;"*",工资表明细!D:AX,47,0)</f>
        <v>#N/A</v>
      </c>
      <c r="G15" s="43"/>
      <c r="I15" s="67"/>
    </row>
    <row r="16" s="47" customFormat="1" spans="1:9">
      <c r="A16" s="64" t="s">
        <v>316</v>
      </c>
      <c r="B16" s="65">
        <f t="shared" si="1"/>
        <v>15</v>
      </c>
      <c r="C16" s="66" t="e">
        <f>VLOOKUP(A16&amp;"*",花名册!B:S,17,0)</f>
        <v>#N/A</v>
      </c>
      <c r="D16" s="43" t="e">
        <f>VLOOKUP(A16&amp;"*",花名册!B:S,18,0)</f>
        <v>#N/A</v>
      </c>
      <c r="E16" s="64" t="e">
        <f>IF(VLOOKUP(A16&amp;"*",花名册!B:C,2,0)="郭子轶","郭轶",VLOOKUP(A16&amp;"*",花名册!B:C,2,0))</f>
        <v>#N/A</v>
      </c>
      <c r="F16" s="46" t="e">
        <f>VLOOKUP(A16&amp;"*",工资表明细!D:AX,47,0)</f>
        <v>#N/A</v>
      </c>
      <c r="G16" s="43"/>
      <c r="I16" s="67"/>
    </row>
    <row r="17" s="47" customFormat="1" spans="1:9">
      <c r="A17" s="64" t="s">
        <v>318</v>
      </c>
      <c r="B17" s="65">
        <f t="shared" si="1"/>
        <v>16</v>
      </c>
      <c r="C17" s="66" t="e">
        <f>VLOOKUP(A17&amp;"*",花名册!B:S,17,0)</f>
        <v>#N/A</v>
      </c>
      <c r="D17" s="43" t="e">
        <f>VLOOKUP(A17&amp;"*",花名册!B:S,18,0)</f>
        <v>#N/A</v>
      </c>
      <c r="E17" s="64" t="e">
        <f>IF(VLOOKUP(A17&amp;"*",花名册!B:C,2,0)="郭子轶","郭轶",VLOOKUP(A17&amp;"*",花名册!B:C,2,0))</f>
        <v>#N/A</v>
      </c>
      <c r="F17" s="46" t="e">
        <f>VLOOKUP(A17&amp;"*",工资表明细!D:AX,47,0)</f>
        <v>#N/A</v>
      </c>
      <c r="G17" s="43"/>
      <c r="I17" s="67"/>
    </row>
    <row r="18" s="47" customFormat="1" spans="1:9">
      <c r="A18" s="64" t="s">
        <v>322</v>
      </c>
      <c r="B18" s="65">
        <f t="shared" si="1"/>
        <v>17</v>
      </c>
      <c r="C18" s="66" t="e">
        <f>VLOOKUP(A18&amp;"*",花名册!B:S,17,0)</f>
        <v>#N/A</v>
      </c>
      <c r="D18" s="43" t="e">
        <f>VLOOKUP(A18&amp;"*",花名册!B:S,18,0)</f>
        <v>#N/A</v>
      </c>
      <c r="E18" s="64" t="e">
        <f>IF(VLOOKUP(A18&amp;"*",花名册!B:C,2,0)="郭子轶","郭轶",VLOOKUP(A18&amp;"*",花名册!B:C,2,0))</f>
        <v>#N/A</v>
      </c>
      <c r="F18" s="46" t="e">
        <f>VLOOKUP(A18&amp;"*",工资表明细!D:AX,47,0)</f>
        <v>#N/A</v>
      </c>
      <c r="G18" s="43"/>
      <c r="I18" s="67"/>
    </row>
    <row r="19" s="47" customFormat="1" spans="1:9">
      <c r="A19" s="64" t="s">
        <v>324</v>
      </c>
      <c r="B19" s="65">
        <f t="shared" si="1"/>
        <v>18</v>
      </c>
      <c r="C19" s="66" t="e">
        <f>VLOOKUP(A19&amp;"*",花名册!B:S,17,0)</f>
        <v>#N/A</v>
      </c>
      <c r="D19" s="43" t="e">
        <f>VLOOKUP(A19&amp;"*",花名册!B:S,18,0)</f>
        <v>#N/A</v>
      </c>
      <c r="E19" s="64" t="e">
        <f>IF(VLOOKUP(A19&amp;"*",花名册!B:C,2,0)="郭子轶","郭轶",VLOOKUP(A19&amp;"*",花名册!B:C,2,0))</f>
        <v>#N/A</v>
      </c>
      <c r="F19" s="46" t="e">
        <f>VLOOKUP(A19&amp;"*",工资表明细!D:AX,47,0)</f>
        <v>#N/A</v>
      </c>
      <c r="G19" s="43"/>
      <c r="I19" s="67"/>
    </row>
    <row r="20" s="47" customFormat="1" spans="1:9">
      <c r="A20" s="64" t="s">
        <v>326</v>
      </c>
      <c r="B20" s="65">
        <f t="shared" si="1"/>
        <v>19</v>
      </c>
      <c r="C20" s="66" t="e">
        <f>VLOOKUP(A20&amp;"*",花名册!B:S,17,0)</f>
        <v>#N/A</v>
      </c>
      <c r="D20" s="43" t="e">
        <f>VLOOKUP(A20&amp;"*",花名册!B:S,18,0)</f>
        <v>#N/A</v>
      </c>
      <c r="E20" s="64" t="e">
        <f>IF(VLOOKUP(A20&amp;"*",花名册!B:C,2,0)="郭子轶","郭轶",VLOOKUP(A20&amp;"*",花名册!B:C,2,0))</f>
        <v>#N/A</v>
      </c>
      <c r="F20" s="46" t="e">
        <f>VLOOKUP(A20&amp;"*",工资表明细!D:AX,47,0)</f>
        <v>#N/A</v>
      </c>
      <c r="G20" s="43"/>
      <c r="I20" s="67"/>
    </row>
    <row r="21" s="47" customFormat="1" spans="1:9">
      <c r="A21" s="64" t="s">
        <v>328</v>
      </c>
      <c r="B21" s="65">
        <f t="shared" si="1"/>
        <v>20</v>
      </c>
      <c r="C21" s="66" t="e">
        <f>VLOOKUP(A21&amp;"*",花名册!B:S,17,0)</f>
        <v>#N/A</v>
      </c>
      <c r="D21" s="43" t="e">
        <f>VLOOKUP(A21&amp;"*",花名册!B:S,18,0)</f>
        <v>#N/A</v>
      </c>
      <c r="E21" s="64" t="e">
        <f>IF(VLOOKUP(A21&amp;"*",花名册!B:C,2,0)="郭子轶","郭轶",VLOOKUP(A21&amp;"*",花名册!B:C,2,0))</f>
        <v>#N/A</v>
      </c>
      <c r="F21" s="46" t="e">
        <f>VLOOKUP(A21&amp;"*",工资表明细!D:AX,47,0)</f>
        <v>#N/A</v>
      </c>
      <c r="G21" s="43"/>
      <c r="I21" s="67"/>
    </row>
    <row r="22" s="47" customFormat="1" spans="1:9">
      <c r="A22" s="64" t="s">
        <v>330</v>
      </c>
      <c r="B22" s="65">
        <f t="shared" ref="B22:B31" si="2">ROW()-1</f>
        <v>21</v>
      </c>
      <c r="C22" s="66" t="e">
        <f>VLOOKUP(A22&amp;"*",花名册!B:S,17,0)</f>
        <v>#N/A</v>
      </c>
      <c r="D22" s="43" t="e">
        <f>VLOOKUP(A22&amp;"*",花名册!B:S,18,0)</f>
        <v>#N/A</v>
      </c>
      <c r="E22" s="64" t="e">
        <f>IF(VLOOKUP(A22&amp;"*",花名册!B:C,2,0)="郭子轶","郭轶",VLOOKUP(A22&amp;"*",花名册!B:C,2,0))</f>
        <v>#N/A</v>
      </c>
      <c r="F22" s="46" t="e">
        <f>VLOOKUP(A22&amp;"*",工资表明细!D:AX,47,0)</f>
        <v>#N/A</v>
      </c>
      <c r="G22" s="43"/>
      <c r="I22" s="67"/>
    </row>
    <row r="23" s="47" customFormat="1" spans="1:9">
      <c r="A23" s="64" t="s">
        <v>332</v>
      </c>
      <c r="B23" s="65">
        <f t="shared" si="2"/>
        <v>22</v>
      </c>
      <c r="C23" s="66" t="e">
        <f>VLOOKUP(A23&amp;"*",花名册!B:S,17,0)</f>
        <v>#N/A</v>
      </c>
      <c r="D23" s="43" t="e">
        <f>VLOOKUP(A23&amp;"*",花名册!B:S,18,0)</f>
        <v>#N/A</v>
      </c>
      <c r="E23" s="64" t="e">
        <f>IF(VLOOKUP(A23&amp;"*",花名册!B:C,2,0)="郭子轶","郭轶",VLOOKUP(A23&amp;"*",花名册!B:C,2,0))</f>
        <v>#N/A</v>
      </c>
      <c r="F23" s="46" t="e">
        <f>VLOOKUP(A23&amp;"*",工资表明细!D:AX,47,0)</f>
        <v>#N/A</v>
      </c>
      <c r="G23" s="43"/>
      <c r="I23" s="67"/>
    </row>
    <row r="24" s="47" customFormat="1" spans="1:9">
      <c r="A24" s="64" t="s">
        <v>334</v>
      </c>
      <c r="B24" s="65">
        <f t="shared" si="2"/>
        <v>23</v>
      </c>
      <c r="C24" s="66" t="e">
        <f>VLOOKUP(A24&amp;"*",花名册!B:S,17,0)</f>
        <v>#N/A</v>
      </c>
      <c r="D24" s="43" t="e">
        <f>VLOOKUP(A24&amp;"*",花名册!B:S,18,0)</f>
        <v>#N/A</v>
      </c>
      <c r="E24" s="64" t="e">
        <f>IF(VLOOKUP(A24&amp;"*",花名册!B:C,2,0)="郭子轶","郭轶",VLOOKUP(A24&amp;"*",花名册!B:C,2,0))</f>
        <v>#N/A</v>
      </c>
      <c r="F24" s="46" t="e">
        <f>VLOOKUP(A24&amp;"*",工资表明细!D:AX,47,0)</f>
        <v>#N/A</v>
      </c>
      <c r="G24" s="43"/>
      <c r="I24" s="67"/>
    </row>
    <row r="25" s="47" customFormat="1" spans="1:9">
      <c r="A25" s="64" t="s">
        <v>336</v>
      </c>
      <c r="B25" s="65">
        <f t="shared" si="2"/>
        <v>24</v>
      </c>
      <c r="C25" s="66" t="e">
        <f>VLOOKUP(A25&amp;"*",花名册!B:S,17,0)</f>
        <v>#N/A</v>
      </c>
      <c r="D25" s="43" t="e">
        <f>VLOOKUP(A25&amp;"*",花名册!B:S,18,0)</f>
        <v>#N/A</v>
      </c>
      <c r="E25" s="64" t="e">
        <f>IF(VLOOKUP(A25&amp;"*",花名册!B:C,2,0)="郭子轶","郭轶",VLOOKUP(A25&amp;"*",花名册!B:C,2,0))</f>
        <v>#N/A</v>
      </c>
      <c r="F25" s="46" t="e">
        <f>VLOOKUP(A25&amp;"*",工资表明细!D:AX,47,0)</f>
        <v>#N/A</v>
      </c>
      <c r="G25" s="43"/>
      <c r="H25" s="47"/>
      <c r="I25" s="67"/>
    </row>
    <row r="26" s="47" customFormat="1" spans="1:9">
      <c r="A26" s="64" t="s">
        <v>340</v>
      </c>
      <c r="B26" s="65">
        <f t="shared" si="2"/>
        <v>25</v>
      </c>
      <c r="C26" s="66" t="e">
        <f>VLOOKUP(A26&amp;"*",花名册!B:S,17,0)</f>
        <v>#N/A</v>
      </c>
      <c r="D26" s="43" t="e">
        <f>VLOOKUP(A26&amp;"*",花名册!B:S,18,0)</f>
        <v>#N/A</v>
      </c>
      <c r="E26" s="64" t="e">
        <f>IF(VLOOKUP(A26&amp;"*",花名册!B:C,2,0)="郭子轶","郭轶",VLOOKUP(A26&amp;"*",花名册!B:C,2,0))</f>
        <v>#N/A</v>
      </c>
      <c r="F26" s="46" t="e">
        <f>VLOOKUP(A26&amp;"*",工资表明细!D:AX,47,0)</f>
        <v>#N/A</v>
      </c>
      <c r="G26" s="43"/>
      <c r="H26" s="47"/>
      <c r="I26" s="67"/>
    </row>
    <row r="27" s="47" customFormat="1" spans="1:9">
      <c r="A27" s="225" t="s">
        <v>350</v>
      </c>
      <c r="B27" s="65">
        <f t="shared" si="2"/>
        <v>26</v>
      </c>
      <c r="C27" s="66" t="e">
        <f>VLOOKUP(A27&amp;"*",花名册!B:S,17,0)</f>
        <v>#N/A</v>
      </c>
      <c r="D27" s="43" t="e">
        <f>VLOOKUP(A27&amp;"*",花名册!B:S,18,0)</f>
        <v>#N/A</v>
      </c>
      <c r="E27" s="64" t="e">
        <f>IF(VLOOKUP(A27&amp;"*",花名册!B:C,2,0)="郭子轶","郭轶",VLOOKUP(A27&amp;"*",花名册!B:C,2,0))</f>
        <v>#N/A</v>
      </c>
      <c r="F27" s="46" t="e">
        <f>VLOOKUP(A27&amp;"*",工资表明细!D:AX,47,0)</f>
        <v>#N/A</v>
      </c>
      <c r="G27" s="43"/>
      <c r="H27" s="47"/>
      <c r="I27" s="67"/>
    </row>
    <row r="28" s="47" customFormat="1" spans="1:9">
      <c r="A28" s="225" t="s">
        <v>352</v>
      </c>
      <c r="B28" s="65">
        <f t="shared" si="2"/>
        <v>27</v>
      </c>
      <c r="C28" s="66" t="e">
        <f>VLOOKUP(A28&amp;"*",花名册!B:S,17,0)</f>
        <v>#N/A</v>
      </c>
      <c r="D28" s="43" t="e">
        <f>VLOOKUP(A28&amp;"*",花名册!B:S,18,0)</f>
        <v>#N/A</v>
      </c>
      <c r="E28" s="64" t="e">
        <f>IF(VLOOKUP(A28&amp;"*",花名册!B:C,2,0)="郭子轶","郭轶",VLOOKUP(A28&amp;"*",花名册!B:C,2,0))</f>
        <v>#N/A</v>
      </c>
      <c r="F28" s="46" t="e">
        <f>VLOOKUP(A28&amp;"*",工资表明细!D:AX,47,0)</f>
        <v>#N/A</v>
      </c>
      <c r="G28" s="43"/>
      <c r="H28" s="47"/>
      <c r="I28" s="67"/>
    </row>
    <row r="29" s="47" customFormat="1" spans="1:9">
      <c r="A29" s="225" t="s">
        <v>354</v>
      </c>
      <c r="B29" s="65">
        <f t="shared" si="2"/>
        <v>28</v>
      </c>
      <c r="C29" s="66" t="e">
        <f>VLOOKUP(A29&amp;"*",花名册!B:S,17,0)</f>
        <v>#N/A</v>
      </c>
      <c r="D29" s="43" t="e">
        <f>VLOOKUP(A29&amp;"*",花名册!B:S,18,0)</f>
        <v>#N/A</v>
      </c>
      <c r="E29" s="64" t="e">
        <f>IF(VLOOKUP(A29&amp;"*",花名册!B:C,2,0)="郭子轶","郭轶",VLOOKUP(A29&amp;"*",花名册!B:C,2,0))</f>
        <v>#N/A</v>
      </c>
      <c r="F29" s="46" t="e">
        <f>VLOOKUP(A29&amp;"*",工资表明细!D:AX,47,0)</f>
        <v>#N/A</v>
      </c>
      <c r="G29" s="43"/>
      <c r="I29" s="67"/>
    </row>
    <row r="30" s="47" customFormat="1" spans="1:9">
      <c r="A30" s="225" t="s">
        <v>356</v>
      </c>
      <c r="B30" s="65">
        <f t="shared" si="2"/>
        <v>29</v>
      </c>
      <c r="C30" s="66" t="e">
        <f>VLOOKUP(A30&amp;"*",花名册!B:S,17,0)</f>
        <v>#N/A</v>
      </c>
      <c r="D30" s="43" t="e">
        <f>VLOOKUP(A30&amp;"*",花名册!B:S,18,0)</f>
        <v>#N/A</v>
      </c>
      <c r="E30" s="64" t="e">
        <f>IF(VLOOKUP(A30&amp;"*",花名册!B:C,2,0)="郭子轶","郭轶",VLOOKUP(A30&amp;"*",花名册!B:C,2,0))</f>
        <v>#N/A</v>
      </c>
      <c r="F30" s="46" t="e">
        <f>VLOOKUP(A30&amp;"*",工资表明细!D:AX,47,0)</f>
        <v>#N/A</v>
      </c>
      <c r="G30" s="43"/>
      <c r="I30" s="67"/>
    </row>
    <row r="31" s="47" customFormat="1" spans="1:9">
      <c r="A31" s="225" t="s">
        <v>358</v>
      </c>
      <c r="B31" s="65">
        <f t="shared" si="2"/>
        <v>30</v>
      </c>
      <c r="C31" s="66" t="e">
        <f>VLOOKUP(A31&amp;"*",花名册!B:S,17,0)</f>
        <v>#N/A</v>
      </c>
      <c r="D31" s="43" t="e">
        <f>VLOOKUP(A31&amp;"*",花名册!B:S,18,0)</f>
        <v>#N/A</v>
      </c>
      <c r="E31" s="64" t="e">
        <f>IF(VLOOKUP(A31&amp;"*",花名册!B:C,2,0)="郭子轶","郭轶",VLOOKUP(A31&amp;"*",花名册!B:C,2,0))</f>
        <v>#N/A</v>
      </c>
      <c r="F31" s="46" t="e">
        <f>VLOOKUP(A31&amp;"*",工资表明细!D:AX,47,0)</f>
        <v>#N/A</v>
      </c>
      <c r="G31" s="43"/>
      <c r="I31" s="67"/>
    </row>
    <row r="32" s="47" customFormat="1" spans="1:9">
      <c r="A32" s="225" t="s">
        <v>360</v>
      </c>
      <c r="B32" s="65">
        <f t="shared" ref="B32:B44" si="3">ROW()-1</f>
        <v>31</v>
      </c>
      <c r="C32" s="66" t="e">
        <f>VLOOKUP(A32&amp;"*",花名册!B:S,17,0)</f>
        <v>#N/A</v>
      </c>
      <c r="D32" s="43" t="e">
        <f>VLOOKUP(A32&amp;"*",花名册!B:S,18,0)</f>
        <v>#N/A</v>
      </c>
      <c r="E32" s="64" t="e">
        <f>IF(VLOOKUP(A32&amp;"*",花名册!B:C,2,0)="郭子轶","郭轶",VLOOKUP(A32&amp;"*",花名册!B:C,2,0))</f>
        <v>#N/A</v>
      </c>
      <c r="F32" s="46" t="e">
        <f>VLOOKUP(A32&amp;"*",工资表明细!D:AX,47,0)</f>
        <v>#N/A</v>
      </c>
      <c r="G32" s="43"/>
      <c r="I32" s="67"/>
    </row>
    <row r="33" s="47" customFormat="1" spans="1:9">
      <c r="A33" s="64" t="s">
        <v>362</v>
      </c>
      <c r="B33" s="65">
        <f t="shared" si="3"/>
        <v>32</v>
      </c>
      <c r="C33" s="66" t="e">
        <f>VLOOKUP(A33&amp;"*",花名册!B:S,17,0)</f>
        <v>#N/A</v>
      </c>
      <c r="D33" s="43" t="e">
        <f>VLOOKUP(A33&amp;"*",花名册!B:S,18,0)</f>
        <v>#N/A</v>
      </c>
      <c r="E33" s="64" t="e">
        <f>IF(VLOOKUP(A33&amp;"*",花名册!B:C,2,0)="郭子轶","郭轶",VLOOKUP(A33&amp;"*",花名册!B:C,2,0))</f>
        <v>#N/A</v>
      </c>
      <c r="F33" s="46" t="e">
        <f>VLOOKUP(A33&amp;"*",工资表明细!D:AX,47,0)</f>
        <v>#N/A</v>
      </c>
      <c r="G33" s="43"/>
      <c r="I33" s="67"/>
    </row>
    <row r="34" s="47" customFormat="1" spans="1:9">
      <c r="A34" s="64" t="s">
        <v>364</v>
      </c>
      <c r="B34" s="65">
        <f t="shared" si="3"/>
        <v>33</v>
      </c>
      <c r="C34" s="66" t="e">
        <f>VLOOKUP(A34&amp;"*",花名册!B:S,17,0)</f>
        <v>#N/A</v>
      </c>
      <c r="D34" s="43" t="e">
        <f>VLOOKUP(A34&amp;"*",花名册!B:S,18,0)</f>
        <v>#N/A</v>
      </c>
      <c r="E34" s="64" t="e">
        <f>IF(VLOOKUP(A34&amp;"*",花名册!B:C,2,0)="郭子轶","郭轶",VLOOKUP(A34&amp;"*",花名册!B:C,2,0))</f>
        <v>#N/A</v>
      </c>
      <c r="F34" s="46" t="e">
        <f>VLOOKUP(A34&amp;"*",工资表明细!D:AX,47,0)</f>
        <v>#N/A</v>
      </c>
      <c r="G34" s="43"/>
      <c r="I34" s="67"/>
    </row>
    <row r="35" s="47" customFormat="1" spans="1:9">
      <c r="A35" s="64" t="s">
        <v>368</v>
      </c>
      <c r="B35" s="65">
        <f t="shared" si="3"/>
        <v>34</v>
      </c>
      <c r="C35" s="66" t="e">
        <f>VLOOKUP(A35&amp;"*",花名册!B:S,17,0)</f>
        <v>#N/A</v>
      </c>
      <c r="D35" s="43" t="e">
        <f>VLOOKUP(A35&amp;"*",花名册!B:S,18,0)</f>
        <v>#N/A</v>
      </c>
      <c r="E35" s="64" t="e">
        <f>IF(VLOOKUP(A35&amp;"*",花名册!B:C,2,0)="郭子轶","郭轶",VLOOKUP(A35&amp;"*",花名册!B:C,2,0))</f>
        <v>#N/A</v>
      </c>
      <c r="F35" s="46" t="e">
        <f>VLOOKUP(A35&amp;"*",工资表明细!D:AX,47,0)</f>
        <v>#N/A</v>
      </c>
      <c r="G35" s="43"/>
      <c r="I35" s="67"/>
    </row>
    <row r="36" s="47" customFormat="1" spans="1:9">
      <c r="A36" s="64" t="s">
        <v>372</v>
      </c>
      <c r="B36" s="65">
        <f t="shared" si="3"/>
        <v>35</v>
      </c>
      <c r="C36" s="66" t="e">
        <f>VLOOKUP(A36&amp;"*",花名册!B:S,17,0)</f>
        <v>#N/A</v>
      </c>
      <c r="D36" s="43" t="e">
        <f>VLOOKUP(A36&amp;"*",花名册!B:S,18,0)</f>
        <v>#N/A</v>
      </c>
      <c r="E36" s="64" t="e">
        <f>IF(VLOOKUP(A36&amp;"*",花名册!B:C,2,0)="郭子轶","郭轶",VLOOKUP(A36&amp;"*",花名册!B:C,2,0))</f>
        <v>#N/A</v>
      </c>
      <c r="F36" s="46" t="e">
        <f>VLOOKUP(A36&amp;"*",工资表明细!D:AX,47,0)</f>
        <v>#N/A</v>
      </c>
      <c r="G36" s="43"/>
      <c r="I36" s="67"/>
    </row>
    <row r="37" s="47" customFormat="1" spans="1:9">
      <c r="A37" s="64" t="s">
        <v>374</v>
      </c>
      <c r="B37" s="65">
        <f t="shared" si="3"/>
        <v>36</v>
      </c>
      <c r="C37" s="66" t="e">
        <f>VLOOKUP(A37&amp;"*",花名册!B:S,17,0)</f>
        <v>#N/A</v>
      </c>
      <c r="D37" s="43" t="e">
        <f>VLOOKUP(A37&amp;"*",花名册!B:S,18,0)</f>
        <v>#N/A</v>
      </c>
      <c r="E37" s="64" t="e">
        <f>IF(VLOOKUP(A37&amp;"*",花名册!B:C,2,0)="郭子轶","郭轶",VLOOKUP(A37&amp;"*",花名册!B:C,2,0))</f>
        <v>#N/A</v>
      </c>
      <c r="F37" s="46" t="e">
        <f>VLOOKUP(A37&amp;"*",工资表明细!D:AX,47,0)</f>
        <v>#N/A</v>
      </c>
      <c r="G37" s="43"/>
      <c r="I37" s="67"/>
    </row>
    <row r="38" s="47" customFormat="1" spans="1:9">
      <c r="A38" s="64" t="s">
        <v>376</v>
      </c>
      <c r="B38" s="65">
        <f t="shared" si="3"/>
        <v>37</v>
      </c>
      <c r="C38" s="66" t="e">
        <f>VLOOKUP(A38&amp;"*",花名册!B:S,17,0)</f>
        <v>#N/A</v>
      </c>
      <c r="D38" s="43" t="e">
        <f>VLOOKUP(A38&amp;"*",花名册!B:S,18,0)</f>
        <v>#N/A</v>
      </c>
      <c r="E38" s="64" t="e">
        <f>IF(VLOOKUP(A38&amp;"*",花名册!B:C,2,0)="郭子轶","郭轶",VLOOKUP(A38&amp;"*",花名册!B:C,2,0))</f>
        <v>#N/A</v>
      </c>
      <c r="F38" s="46" t="e">
        <f>VLOOKUP(A38&amp;"*",工资表明细!D:AX,47,0)</f>
        <v>#N/A</v>
      </c>
      <c r="G38" s="43"/>
      <c r="I38" s="67"/>
    </row>
    <row r="39" s="47" customFormat="1" spans="1:9">
      <c r="A39" s="64" t="s">
        <v>378</v>
      </c>
      <c r="B39" s="65">
        <f t="shared" si="3"/>
        <v>38</v>
      </c>
      <c r="C39" s="66" t="e">
        <f>VLOOKUP(A39&amp;"*",花名册!B:S,17,0)</f>
        <v>#N/A</v>
      </c>
      <c r="D39" s="43" t="e">
        <f>VLOOKUP(A39&amp;"*",花名册!B:S,18,0)</f>
        <v>#N/A</v>
      </c>
      <c r="E39" s="64" t="e">
        <f>IF(VLOOKUP(A39&amp;"*",花名册!B:C,2,0)="郭子轶","郭轶",VLOOKUP(A39&amp;"*",花名册!B:C,2,0))</f>
        <v>#N/A</v>
      </c>
      <c r="F39" s="46" t="e">
        <f>VLOOKUP(A39&amp;"*",工资表明细!D:AX,47,0)</f>
        <v>#N/A</v>
      </c>
      <c r="G39" s="43"/>
      <c r="I39" s="67"/>
    </row>
    <row r="40" s="47" customFormat="1" spans="1:9">
      <c r="A40" s="64" t="s">
        <v>380</v>
      </c>
      <c r="B40" s="65">
        <f t="shared" si="3"/>
        <v>39</v>
      </c>
      <c r="C40" s="66" t="e">
        <f>VLOOKUP(A40&amp;"*",花名册!B:S,17,0)</f>
        <v>#N/A</v>
      </c>
      <c r="D40" s="43" t="e">
        <f>VLOOKUP(A40&amp;"*",花名册!B:S,18,0)</f>
        <v>#N/A</v>
      </c>
      <c r="E40" s="64" t="e">
        <f>IF(VLOOKUP(A40&amp;"*",花名册!B:C,2,0)="郭子轶","郭轶",VLOOKUP(A40&amp;"*",花名册!B:C,2,0))</f>
        <v>#N/A</v>
      </c>
      <c r="F40" s="46" t="e">
        <f>VLOOKUP(A40&amp;"*",工资表明细!D:AX,47,0)</f>
        <v>#N/A</v>
      </c>
      <c r="G40" s="43"/>
      <c r="I40" s="67"/>
    </row>
    <row r="41" s="47" customFormat="1" spans="1:9">
      <c r="A41" s="64" t="s">
        <v>382</v>
      </c>
      <c r="B41" s="65">
        <f t="shared" si="3"/>
        <v>40</v>
      </c>
      <c r="C41" s="66" t="e">
        <f>VLOOKUP(A41&amp;"*",花名册!B:S,17,0)</f>
        <v>#N/A</v>
      </c>
      <c r="D41" s="43" t="e">
        <f>VLOOKUP(A41&amp;"*",花名册!B:S,18,0)</f>
        <v>#N/A</v>
      </c>
      <c r="E41" s="64" t="e">
        <f>IF(VLOOKUP(A41&amp;"*",花名册!B:C,2,0)="郭子轶","郭轶",VLOOKUP(A41&amp;"*",花名册!B:C,2,0))</f>
        <v>#N/A</v>
      </c>
      <c r="F41" s="46" t="e">
        <f>VLOOKUP(A41&amp;"*",工资表明细!D:AX,47,0)</f>
        <v>#N/A</v>
      </c>
      <c r="G41" s="43"/>
      <c r="I41" s="67"/>
    </row>
    <row r="42" s="47" customFormat="1" spans="1:9">
      <c r="A42" s="64" t="s">
        <v>386</v>
      </c>
      <c r="B42" s="65">
        <f t="shared" si="3"/>
        <v>41</v>
      </c>
      <c r="C42" s="66" t="e">
        <f>VLOOKUP(A42&amp;"*",花名册!B:S,17,0)</f>
        <v>#N/A</v>
      </c>
      <c r="D42" s="43" t="e">
        <f>VLOOKUP(A42&amp;"*",花名册!B:S,18,0)</f>
        <v>#N/A</v>
      </c>
      <c r="E42" s="64" t="e">
        <f>IF(VLOOKUP(A42&amp;"*",花名册!B:C,2,0)="郭子轶","郭轶",VLOOKUP(A42&amp;"*",花名册!B:C,2,0))</f>
        <v>#N/A</v>
      </c>
      <c r="F42" s="46" t="e">
        <f>VLOOKUP(A42&amp;"*",工资表明细!D:AX,47,0)</f>
        <v>#N/A</v>
      </c>
      <c r="G42" s="43"/>
      <c r="I42" s="67"/>
    </row>
    <row r="43" s="47" customFormat="1" spans="1:9">
      <c r="A43" s="64" t="s">
        <v>388</v>
      </c>
      <c r="B43" s="65">
        <f t="shared" si="3"/>
        <v>42</v>
      </c>
      <c r="C43" s="66" t="e">
        <f>VLOOKUP(A43&amp;"*",花名册!B:S,17,0)</f>
        <v>#N/A</v>
      </c>
      <c r="D43" s="43" t="e">
        <f>VLOOKUP(A43&amp;"*",花名册!B:S,18,0)</f>
        <v>#N/A</v>
      </c>
      <c r="E43" s="64" t="e">
        <f>IF(VLOOKUP(A43&amp;"*",花名册!B:C,2,0)="郭子轶","郭轶",VLOOKUP(A43&amp;"*",花名册!B:C,2,0))</f>
        <v>#N/A</v>
      </c>
      <c r="F43" s="46" t="e">
        <f>VLOOKUP(A43&amp;"*",工资表明细!D:AX,47,0)</f>
        <v>#N/A</v>
      </c>
      <c r="G43" s="43"/>
      <c r="I43" s="67"/>
    </row>
    <row r="44" s="47" customFormat="1" spans="1:9">
      <c r="A44" s="64" t="s">
        <v>390</v>
      </c>
      <c r="B44" s="65">
        <f t="shared" si="3"/>
        <v>43</v>
      </c>
      <c r="C44" s="66" t="e">
        <f>VLOOKUP(A44&amp;"*",花名册!B:S,17,0)</f>
        <v>#N/A</v>
      </c>
      <c r="D44" s="43" t="e">
        <f>VLOOKUP(A44&amp;"*",花名册!B:S,18,0)</f>
        <v>#N/A</v>
      </c>
      <c r="E44" s="64" t="e">
        <f>IF(VLOOKUP(A44&amp;"*",花名册!B:C,2,0)="郭子轶","郭轶",VLOOKUP(A44&amp;"*",花名册!B:C,2,0))</f>
        <v>#N/A</v>
      </c>
      <c r="F44" s="46" t="e">
        <f>VLOOKUP(A44&amp;"*",工资表明细!D:AX,47,0)</f>
        <v>#N/A</v>
      </c>
      <c r="G44" s="43"/>
      <c r="I44" s="67"/>
    </row>
    <row r="45" s="47" customFormat="1" spans="1:9">
      <c r="A45" s="64" t="s">
        <v>414</v>
      </c>
      <c r="B45" s="65">
        <f t="shared" ref="B45:B54" si="4">ROW()-1</f>
        <v>44</v>
      </c>
      <c r="C45" s="66" t="e">
        <f>VLOOKUP(A45&amp;"*",花名册!B:S,17,0)</f>
        <v>#N/A</v>
      </c>
      <c r="D45" s="43" t="e">
        <f>VLOOKUP(A45&amp;"*",花名册!B:S,18,0)</f>
        <v>#N/A</v>
      </c>
      <c r="E45" s="64" t="e">
        <f>IF(VLOOKUP(A45&amp;"*",花名册!B:C,2,0)="郭子轶","郭轶",VLOOKUP(A45&amp;"*",花名册!B:C,2,0))</f>
        <v>#N/A</v>
      </c>
      <c r="F45" s="46" t="e">
        <f>VLOOKUP(A45&amp;"*",工资表明细!D:AX,47,0)</f>
        <v>#N/A</v>
      </c>
      <c r="G45" s="43"/>
      <c r="I45" s="67"/>
    </row>
    <row r="46" spans="1:9">
      <c r="A46" s="43" t="s">
        <v>396</v>
      </c>
      <c r="B46" s="65">
        <f t="shared" si="4"/>
        <v>45</v>
      </c>
      <c r="C46" s="66" t="e">
        <f>VLOOKUP(A46&amp;"*",花名册!B:S,17,0)</f>
        <v>#N/A</v>
      </c>
      <c r="D46" s="43" t="e">
        <f>VLOOKUP(A46&amp;"*",花名册!B:S,18,0)</f>
        <v>#N/A</v>
      </c>
      <c r="E46" s="64" t="e">
        <f>IF(VLOOKUP(A46&amp;"*",花名册!B:C,2,0)="郭子轶","郭轶",VLOOKUP(A46&amp;"*",花名册!B:C,2,0))</f>
        <v>#N/A</v>
      </c>
      <c r="F46" s="46" t="e">
        <f>VLOOKUP(A46&amp;"*",工资表明细!D:AX,47,0)</f>
        <v>#N/A</v>
      </c>
    </row>
    <row r="47" spans="1:9">
      <c r="A47" s="43" t="s">
        <v>398</v>
      </c>
      <c r="B47" s="65">
        <f t="shared" si="4"/>
        <v>46</v>
      </c>
      <c r="C47" s="66" t="e">
        <f>VLOOKUP(A47&amp;"*",花名册!B:S,17,0)</f>
        <v>#N/A</v>
      </c>
      <c r="D47" s="43" t="e">
        <f>VLOOKUP(A47&amp;"*",花名册!B:S,18,0)</f>
        <v>#N/A</v>
      </c>
      <c r="E47" s="64" t="e">
        <f>IF(VLOOKUP(A47&amp;"*",花名册!B:C,2,0)="郭子轶","郭轶",VLOOKUP(A47&amp;"*",花名册!B:C,2,0))</f>
        <v>#N/A</v>
      </c>
      <c r="F47" s="46" t="e">
        <f>VLOOKUP(A47&amp;"*",工资表明细!D:AX,47,0)</f>
        <v>#N/A</v>
      </c>
    </row>
    <row r="48" spans="1:9">
      <c r="A48" s="43" t="s">
        <v>400</v>
      </c>
      <c r="B48" s="65">
        <f t="shared" si="4"/>
        <v>47</v>
      </c>
      <c r="C48" s="66" t="e">
        <f>VLOOKUP(A48&amp;"*",花名册!B:S,17,0)</f>
        <v>#N/A</v>
      </c>
      <c r="D48" s="43" t="e">
        <f>VLOOKUP(A48&amp;"*",花名册!B:S,18,0)</f>
        <v>#N/A</v>
      </c>
      <c r="E48" s="64" t="e">
        <f>IF(VLOOKUP(A48&amp;"*",花名册!B:C,2,0)="郭子轶","郭轶",VLOOKUP(A48&amp;"*",花名册!B:C,2,0))</f>
        <v>#N/A</v>
      </c>
      <c r="F48" s="46" t="e">
        <f>VLOOKUP(A48&amp;"*",工资表明细!D:AX,47,0)</f>
        <v>#N/A</v>
      </c>
    </row>
    <row r="49" spans="1:6">
      <c r="A49" s="43" t="s">
        <v>402</v>
      </c>
      <c r="B49" s="65">
        <f t="shared" si="4"/>
        <v>48</v>
      </c>
      <c r="C49" s="66" t="e">
        <f>VLOOKUP(A49&amp;"*",花名册!B:S,17,0)</f>
        <v>#N/A</v>
      </c>
      <c r="D49" s="43" t="e">
        <f>VLOOKUP(A49&amp;"*",花名册!B:S,18,0)</f>
        <v>#N/A</v>
      </c>
      <c r="E49" s="64" t="e">
        <f>IF(VLOOKUP(A49&amp;"*",花名册!B:C,2,0)="郭子轶","郭轶",VLOOKUP(A49&amp;"*",花名册!B:C,2,0))</f>
        <v>#N/A</v>
      </c>
      <c r="F49" s="46" t="e">
        <f>VLOOKUP(A49&amp;"*",工资表明细!D:AX,47,0)</f>
        <v>#N/A</v>
      </c>
    </row>
    <row r="50" spans="1:6">
      <c r="A50" s="43" t="s">
        <v>404</v>
      </c>
      <c r="B50" s="65">
        <f t="shared" si="4"/>
        <v>49</v>
      </c>
      <c r="C50" s="66" t="e">
        <f>VLOOKUP(A50&amp;"*",花名册!B:S,17,0)</f>
        <v>#N/A</v>
      </c>
      <c r="D50" s="43" t="e">
        <f>VLOOKUP(A50&amp;"*",花名册!B:S,18,0)</f>
        <v>#N/A</v>
      </c>
      <c r="E50" s="64" t="e">
        <f>IF(VLOOKUP(A50&amp;"*",花名册!B:C,2,0)="郭子轶","郭轶",VLOOKUP(A50&amp;"*",花名册!B:C,2,0))</f>
        <v>#N/A</v>
      </c>
      <c r="F50" s="46" t="e">
        <f>VLOOKUP(A50&amp;"*",工资表明细!D:AX,47,0)</f>
        <v>#N/A</v>
      </c>
    </row>
    <row r="51" spans="1:6">
      <c r="A51" s="43" t="s">
        <v>406</v>
      </c>
      <c r="B51" s="65">
        <f t="shared" si="4"/>
        <v>50</v>
      </c>
      <c r="C51" s="66" t="e">
        <f>VLOOKUP(A51&amp;"*",花名册!B:S,17,0)</f>
        <v>#N/A</v>
      </c>
      <c r="D51" s="43" t="e">
        <f>VLOOKUP(A51&amp;"*",花名册!B:S,18,0)</f>
        <v>#N/A</v>
      </c>
      <c r="E51" s="64" t="e">
        <f>IF(VLOOKUP(A51&amp;"*",花名册!B:C,2,0)="郭子轶","郭轶",VLOOKUP(A51&amp;"*",花名册!B:C,2,0))</f>
        <v>#N/A</v>
      </c>
      <c r="F51" s="46" t="e">
        <f>VLOOKUP(A51&amp;"*",工资表明细!D:AX,47,0)</f>
        <v>#N/A</v>
      </c>
    </row>
    <row r="52" spans="1:6">
      <c r="A52" s="43" t="s">
        <v>408</v>
      </c>
      <c r="B52" s="65">
        <f t="shared" si="4"/>
        <v>51</v>
      </c>
      <c r="C52" s="66" t="e">
        <f>VLOOKUP(A52&amp;"*",花名册!B:S,17,0)</f>
        <v>#N/A</v>
      </c>
      <c r="D52" s="43" t="e">
        <f>VLOOKUP(A52&amp;"*",花名册!B:S,18,0)</f>
        <v>#N/A</v>
      </c>
      <c r="E52" s="64" t="e">
        <f>IF(VLOOKUP(A52&amp;"*",花名册!B:C,2,0)="郭子轶","郭轶",VLOOKUP(A52&amp;"*",花名册!B:C,2,0))</f>
        <v>#N/A</v>
      </c>
      <c r="F52" s="46" t="e">
        <f>VLOOKUP(A52&amp;"*",工资表明细!D:AX,47,0)</f>
        <v>#N/A</v>
      </c>
    </row>
    <row r="53" spans="1:6">
      <c r="A53" s="43" t="s">
        <v>416</v>
      </c>
      <c r="B53" s="65">
        <f t="shared" si="4"/>
        <v>52</v>
      </c>
      <c r="C53" s="66" t="e">
        <f>VLOOKUP(A53&amp;"*",花名册!B:S,17,0)</f>
        <v>#N/A</v>
      </c>
      <c r="D53" s="43" t="e">
        <f>VLOOKUP(A53&amp;"*",花名册!B:S,18,0)</f>
        <v>#N/A</v>
      </c>
      <c r="E53" s="64" t="e">
        <f>IF(VLOOKUP(A53&amp;"*",花名册!B:C,2,0)="郭子轶","郭轶",VLOOKUP(A53&amp;"*",花名册!B:C,2,0))</f>
        <v>#N/A</v>
      </c>
      <c r="F53" s="46" t="e">
        <f>VLOOKUP(A53&amp;"*",工资表明细!D:AX,47,0)</f>
        <v>#N/A</v>
      </c>
    </row>
    <row r="54" spans="1:6">
      <c r="A54" s="43" t="s">
        <v>412</v>
      </c>
      <c r="B54" s="65">
        <f t="shared" si="4"/>
        <v>53</v>
      </c>
      <c r="C54" s="66" t="e">
        <f>VLOOKUP(A54&amp;"*",花名册!B:S,17,0)</f>
        <v>#N/A</v>
      </c>
      <c r="D54" s="43" t="e">
        <f>VLOOKUP(A54&amp;"*",花名册!B:S,18,0)</f>
        <v>#N/A</v>
      </c>
      <c r="E54" s="64" t="s">
        <v>411</v>
      </c>
      <c r="F54" s="46" t="e">
        <f>VLOOKUP(A54&amp;"*",工资表明细!D:AX,47,0)</f>
        <v>#N/A</v>
      </c>
    </row>
    <row r="55" spans="1:6">
      <c r="F55" s="46" t="e">
        <f>SUM(F2:F54)</f>
        <v>#N/A</v>
      </c>
    </row>
  </sheetData>
  <conditionalFormatting sqref="A1:B1">
    <cfRule type="duplicateValues" dxfId="0" priority="119"/>
  </conditionalFormatting>
  <conditionalFormatting sqref="E1">
    <cfRule type="duplicateValues" dxfId="0" priority="102"/>
  </conditionalFormatting>
  <conditionalFormatting sqref="A3">
    <cfRule type="duplicateValues" dxfId="0" priority="116"/>
  </conditionalFormatting>
  <conditionalFormatting sqref="A4">
    <cfRule type="duplicateValues" dxfId="0" priority="115"/>
  </conditionalFormatting>
  <conditionalFormatting sqref="A5">
    <cfRule type="duplicateValues" dxfId="0" priority="114"/>
  </conditionalFormatting>
  <conditionalFormatting sqref="A6">
    <cfRule type="duplicateValues" dxfId="0" priority="113"/>
  </conditionalFormatting>
  <conditionalFormatting sqref="A7">
    <cfRule type="duplicateValues" dxfId="0" priority="112"/>
  </conditionalFormatting>
  <conditionalFormatting sqref="A8">
    <cfRule type="duplicateValues" dxfId="0" priority="111"/>
  </conditionalFormatting>
  <conditionalFormatting sqref="A9">
    <cfRule type="duplicateValues" dxfId="0" priority="110"/>
  </conditionalFormatting>
  <conditionalFormatting sqref="A10">
    <cfRule type="duplicateValues" dxfId="0" priority="109"/>
  </conditionalFormatting>
  <conditionalFormatting sqref="A11">
    <cfRule type="duplicateValues" dxfId="0" priority="108"/>
  </conditionalFormatting>
  <conditionalFormatting sqref="A12">
    <cfRule type="duplicateValues" dxfId="0" priority="107"/>
  </conditionalFormatting>
  <conditionalFormatting sqref="A13">
    <cfRule type="duplicateValues" dxfId="0" priority="106"/>
  </conditionalFormatting>
  <conditionalFormatting sqref="A14">
    <cfRule type="duplicateValues" dxfId="0" priority="105"/>
  </conditionalFormatting>
  <conditionalFormatting sqref="A15">
    <cfRule type="duplicateValues" dxfId="0" priority="104"/>
  </conditionalFormatting>
  <conditionalFormatting sqref="A16">
    <cfRule type="duplicateValues" dxfId="0" priority="103"/>
  </conditionalFormatting>
  <conditionalFormatting sqref="A17">
    <cfRule type="duplicateValues" dxfId="0" priority="67"/>
  </conditionalFormatting>
  <conditionalFormatting sqref="A18">
    <cfRule type="duplicateValues" dxfId="0" priority="66"/>
  </conditionalFormatting>
  <conditionalFormatting sqref="A19">
    <cfRule type="duplicateValues" dxfId="0" priority="65"/>
  </conditionalFormatting>
  <conditionalFormatting sqref="A20">
    <cfRule type="duplicateValues" dxfId="0" priority="64"/>
  </conditionalFormatting>
  <conditionalFormatting sqref="A21">
    <cfRule type="duplicateValues" dxfId="0" priority="63"/>
  </conditionalFormatting>
  <conditionalFormatting sqref="A22">
    <cfRule type="duplicateValues" dxfId="0" priority="62"/>
  </conditionalFormatting>
  <conditionalFormatting sqref="A23">
    <cfRule type="duplicateValues" dxfId="0" priority="61"/>
  </conditionalFormatting>
  <conditionalFormatting sqref="A24">
    <cfRule type="duplicateValues" dxfId="0" priority="60"/>
  </conditionalFormatting>
  <conditionalFormatting sqref="A25">
    <cfRule type="duplicateValues" dxfId="0" priority="59"/>
  </conditionalFormatting>
  <conditionalFormatting sqref="A26">
    <cfRule type="duplicateValues" dxfId="0" priority="58"/>
  </conditionalFormatting>
  <conditionalFormatting sqref="A27">
    <cfRule type="duplicateValues" dxfId="0" priority="57"/>
  </conditionalFormatting>
  <conditionalFormatting sqref="A28">
    <cfRule type="duplicateValues" dxfId="0" priority="56"/>
  </conditionalFormatting>
  <conditionalFormatting sqref="A29">
    <cfRule type="duplicateValues" dxfId="0" priority="55"/>
  </conditionalFormatting>
  <conditionalFormatting sqref="A30">
    <cfRule type="duplicateValues" dxfId="0" priority="54"/>
  </conditionalFormatting>
  <conditionalFormatting sqref="A31">
    <cfRule type="duplicateValues" dxfId="0" priority="53"/>
  </conditionalFormatting>
  <conditionalFormatting sqref="A32">
    <cfRule type="duplicateValues" dxfId="0" priority="52"/>
  </conditionalFormatting>
  <conditionalFormatting sqref="A33">
    <cfRule type="duplicateValues" dxfId="0" priority="51"/>
  </conditionalFormatting>
  <conditionalFormatting sqref="A34">
    <cfRule type="duplicateValues" dxfId="0" priority="50"/>
  </conditionalFormatting>
  <conditionalFormatting sqref="A35">
    <cfRule type="duplicateValues" dxfId="0" priority="49"/>
  </conditionalFormatting>
  <conditionalFormatting sqref="A36">
    <cfRule type="duplicateValues" dxfId="0" priority="48"/>
  </conditionalFormatting>
  <conditionalFormatting sqref="A37">
    <cfRule type="duplicateValues" dxfId="0" priority="47"/>
  </conditionalFormatting>
  <conditionalFormatting sqref="A38">
    <cfRule type="duplicateValues" dxfId="0" priority="46"/>
  </conditionalFormatting>
  <conditionalFormatting sqref="A39">
    <cfRule type="duplicateValues" dxfId="0" priority="45"/>
  </conditionalFormatting>
  <conditionalFormatting sqref="A40">
    <cfRule type="duplicateValues" dxfId="0" priority="44"/>
  </conditionalFormatting>
  <conditionalFormatting sqref="A41">
    <cfRule type="duplicateValues" dxfId="0" priority="43"/>
  </conditionalFormatting>
  <conditionalFormatting sqref="A42">
    <cfRule type="duplicateValues" dxfId="0" priority="42"/>
  </conditionalFormatting>
  <conditionalFormatting sqref="A43">
    <cfRule type="duplicateValues" dxfId="0" priority="41"/>
  </conditionalFormatting>
  <conditionalFormatting sqref="A44">
    <cfRule type="duplicateValues" dxfId="0" priority="39"/>
  </conditionalFormatting>
  <conditionalFormatting sqref="A45">
    <cfRule type="duplicateValues" dxfId="0" priority="35"/>
  </conditionalFormatting>
  <conditionalFormatting sqref="E$1:E$1048576">
    <cfRule type="duplicateValues" dxfId="0" priority="1"/>
  </conditionalFormatting>
  <conditionalFormatting sqref="E2:E54">
    <cfRule type="duplicateValues" dxfId="0" priority="101"/>
  </conditionalFormatting>
  <conditionalFormatting sqref="A2:B2 B3:B54">
    <cfRule type="duplicateValues" dxfId="0" priority="118"/>
  </conditionalFormatting>
  <pageMargins left="0.7" right="0.7" top="0.75" bottom="0.75" header="0.3" footer="0.3"/>
  <pageSetup paperSize="169" orientation="portrait" horizontalDpi="600" verticalDpi="6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zoomScaleSheetLayoutView="60" workbookViewId="0">
      <selection activeCell="A2" sqref="A2:F2"/>
    </sheetView>
  </sheetViews>
  <sheetFormatPr defaultColWidth="7.61946902654867" defaultRowHeight="13.5"/>
  <cols>
    <col min="1" max="1" width="20.3716814159292" style="43" customWidth="1"/>
    <col min="2" max="2" width="5.12389380530973" style="43" customWidth="1"/>
    <col min="3" max="3" width="21.5044247787611" style="44" customWidth="1"/>
    <col min="4" max="4" width="27.5044247787611" style="43" customWidth="1"/>
    <col min="5" max="5" width="7" style="45" customWidth="1"/>
    <col min="6" max="6" width="9.3716814159292" style="46" customWidth="1"/>
    <col min="7" max="7" width="10.8672566371681" style="43" customWidth="1"/>
    <col min="8" max="8" width="11.7522123893805" style="47"/>
    <col min="9" max="9" width="9.6283185840708" style="47"/>
    <col min="10" max="16384" width="7.61946902654867" style="47"/>
  </cols>
  <sheetData>
    <row r="1" s="47" customFormat="1" spans="1:9">
      <c r="A1" s="64" t="s">
        <v>47</v>
      </c>
      <c r="B1" s="65" t="s">
        <v>526</v>
      </c>
      <c r="C1" s="66" t="s">
        <v>527</v>
      </c>
      <c r="D1" s="43" t="s">
        <v>528</v>
      </c>
      <c r="E1" s="64" t="s">
        <v>46</v>
      </c>
      <c r="F1" s="46" t="s">
        <v>10</v>
      </c>
      <c r="G1" s="43" t="s">
        <v>40</v>
      </c>
      <c r="I1" s="67"/>
    </row>
    <row r="2" s="47" customFormat="1" spans="1:9">
      <c r="A2" s="64"/>
      <c r="B2" s="65"/>
      <c r="C2" s="66"/>
      <c r="D2" s="43"/>
      <c r="E2" s="64"/>
      <c r="F2" s="46"/>
      <c r="G2" s="43"/>
      <c r="I2" s="67"/>
    </row>
    <row r="4" spans="1:9">
      <c r="F4" s="46">
        <f>SUM(F2:F3)</f>
        <v>0</v>
      </c>
    </row>
    <row r="56" spans="6:6">
      <c r="F56" s="46">
        <f>SUM(F2:F55)</f>
        <v>0</v>
      </c>
    </row>
  </sheetData>
  <conditionalFormatting sqref="A1:B1">
    <cfRule type="duplicateValues" dxfId="0" priority="52"/>
  </conditionalFormatting>
  <conditionalFormatting sqref="E1">
    <cfRule type="duplicateValues" dxfId="0" priority="35"/>
  </conditionalFormatting>
  <conditionalFormatting sqref="A2:B2">
    <cfRule type="duplicateValues" dxfId="0" priority="51"/>
  </conditionalFormatting>
  <conditionalFormatting sqref="E2">
    <cfRule type="duplicateValues" dxfId="0" priority="34"/>
  </conditionalFormatting>
  <pageMargins left="0.7" right="0.7" top="0.75" bottom="0.75" header="0.3" footer="0.3"/>
  <pageSetup paperSize="169" orientation="portrait" horizontalDpi="600" vertic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zoomScaleSheetLayoutView="60" workbookViewId="0">
      <selection activeCell="F56" sqref="F56"/>
    </sheetView>
  </sheetViews>
  <sheetFormatPr defaultColWidth="7.61946902654867" defaultRowHeight="13.5"/>
  <cols>
    <col min="1" max="1" width="20.3716814159292" style="43" customWidth="1"/>
    <col min="2" max="2" width="5.12389380530973" style="43" customWidth="1"/>
    <col min="3" max="3" width="21.5044247787611" style="44" customWidth="1"/>
    <col min="4" max="4" width="21.5044247787611" style="43" customWidth="1"/>
    <col min="5" max="5" width="12.1150442477876" style="45" customWidth="1"/>
    <col min="6" max="6" width="11.7522123893805" style="46" customWidth="1"/>
    <col min="7" max="7" width="10.8672566371681" style="43" customWidth="1"/>
    <col min="8" max="8" width="11.7522123893805" style="47"/>
    <col min="9" max="9" width="9.6283185840708" style="47"/>
    <col min="10" max="16384" width="7.61946902654867" style="47"/>
  </cols>
  <sheetData>
    <row r="1" s="47" customFormat="1" spans="1:9">
      <c r="A1" s="64" t="s">
        <v>47</v>
      </c>
      <c r="B1" s="65" t="s">
        <v>526</v>
      </c>
      <c r="C1" s="66" t="s">
        <v>527</v>
      </c>
      <c r="D1" s="43" t="s">
        <v>528</v>
      </c>
      <c r="E1" s="64" t="s">
        <v>46</v>
      </c>
      <c r="F1" s="46" t="s">
        <v>10</v>
      </c>
      <c r="G1" s="43" t="s">
        <v>40</v>
      </c>
      <c r="I1" s="67"/>
    </row>
    <row r="2" s="47" customFormat="1" spans="1:9">
      <c r="A2" s="64" t="s">
        <v>346</v>
      </c>
      <c r="B2" s="65">
        <f>ROW()-1</f>
        <v>1</v>
      </c>
      <c r="C2" s="66" t="e">
        <f>VLOOKUP(A2&amp;"*",花名册!B:S,17,0)</f>
        <v>#N/A</v>
      </c>
      <c r="D2" s="43" t="e">
        <f>VLOOKUP(A2&amp;"*",花名册!B:S,18,0)</f>
        <v>#N/A</v>
      </c>
      <c r="E2" s="64" t="e">
        <f>VLOOKUP(A2&amp;"*",花名册!B:C,2,0)</f>
        <v>#N/A</v>
      </c>
      <c r="F2" s="46" t="e">
        <f>VLOOKUP(A2&amp;"*",工资表明细!D:AX,47,0)</f>
        <v>#N/A</v>
      </c>
      <c r="G2" s="43"/>
      <c r="I2" s="67"/>
    </row>
    <row r="4" spans="1:9">
      <c r="F4" s="46" t="e">
        <f>SUM(F2:F3)</f>
        <v>#N/A</v>
      </c>
    </row>
    <row r="56" spans="6:6">
      <c r="F56" s="46" t="e">
        <f>SUM(F2:F55)</f>
        <v>#N/A</v>
      </c>
    </row>
  </sheetData>
  <conditionalFormatting sqref="A1:B1">
    <cfRule type="duplicateValues" dxfId="0" priority="5"/>
  </conditionalFormatting>
  <conditionalFormatting sqref="E1">
    <cfRule type="duplicateValues" dxfId="0" priority="2"/>
  </conditionalFormatting>
  <conditionalFormatting sqref="A2:B2">
    <cfRule type="duplicateValues" dxfId="0" priority="4"/>
  </conditionalFormatting>
  <conditionalFormatting sqref="E2">
    <cfRule type="duplicateValues" dxfId="0" priority="1"/>
  </conditionalFormatting>
  <pageMargins left="0.7" right="0.7" top="0.75" bottom="0.75" header="0.3" footer="0.3"/>
  <pageSetup paperSize="169" orientation="portrait" horizontalDpi="600" verticalDpi="6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J57"/>
  <sheetViews>
    <sheetView zoomScaleSheetLayoutView="60" workbookViewId="0">
      <selection activeCell="F56" sqref="F56"/>
    </sheetView>
  </sheetViews>
  <sheetFormatPr defaultColWidth="7.61946902654867" defaultRowHeight="13.5"/>
  <cols>
    <col min="1" max="1" width="20.3716814159292" style="43" customWidth="1"/>
    <col min="2" max="2" width="5.12389380530973" style="43" customWidth="1"/>
    <col min="3" max="3" width="21.5044247787611" style="44" customWidth="1"/>
    <col min="4" max="4" width="37.8761061946903" style="43" customWidth="1"/>
    <col min="5" max="5" width="7" style="45" customWidth="1"/>
    <col min="6" max="6" width="11.7522123893805" style="46" customWidth="1"/>
    <col min="7" max="7" width="10.8672566371681" style="43" customWidth="1"/>
    <col min="8" max="8" width="11.7522123893805" style="47"/>
    <col min="9" max="9" width="9.6283185840708" style="47"/>
    <col min="10" max="16384" width="7.61946902654867" style="47"/>
  </cols>
  <sheetData>
    <row r="1" s="47" customFormat="1" spans="1:9">
      <c r="A1" s="64" t="s">
        <v>47</v>
      </c>
      <c r="B1" s="65" t="s">
        <v>526</v>
      </c>
      <c r="C1" s="66" t="s">
        <v>527</v>
      </c>
      <c r="D1" s="43" t="s">
        <v>528</v>
      </c>
      <c r="E1" s="64" t="s">
        <v>46</v>
      </c>
      <c r="F1" s="46" t="s">
        <v>10</v>
      </c>
      <c r="G1" s="43" t="s">
        <v>40</v>
      </c>
      <c r="I1" s="67"/>
    </row>
    <row r="2" s="47" customFormat="1" spans="1:9">
      <c r="A2" s="64" t="s">
        <v>269</v>
      </c>
      <c r="B2" s="65">
        <f>ROW()-1</f>
        <v>1</v>
      </c>
      <c r="C2" s="66" t="e">
        <f>VLOOKUP(A2&amp;"*",花名册!B:S,17,0)</f>
        <v>#N/A</v>
      </c>
      <c r="D2" s="43" t="e">
        <f>VLOOKUP(A2&amp;"*",花名册!B:S,18,0)</f>
        <v>#N/A</v>
      </c>
      <c r="E2" s="64" t="e">
        <f>VLOOKUP(A2&amp;"*",花名册!B:C,2,0)</f>
        <v>#N/A</v>
      </c>
      <c r="F2" s="46" t="e">
        <f>VLOOKUP(A2&amp;"*",工资表明细!D:AX,47,0)</f>
        <v>#N/A</v>
      </c>
      <c r="G2" s="43"/>
      <c r="I2" s="67"/>
    </row>
    <row r="3" s="47" customFormat="1" spans="1:9">
      <c r="A3" s="64" t="s">
        <v>278</v>
      </c>
      <c r="B3" s="65">
        <f t="shared" ref="B3:B17" si="0">ROW()-1</f>
        <v>2</v>
      </c>
      <c r="C3" s="66" t="e">
        <f>VLOOKUP(A3&amp;"*",花名册!B:S,17,0)</f>
        <v>#N/A</v>
      </c>
      <c r="D3" s="43" t="e">
        <f>VLOOKUP(A3&amp;"*",花名册!B:S,18,0)</f>
        <v>#N/A</v>
      </c>
      <c r="E3" s="64" t="e">
        <f>VLOOKUP(A3&amp;"*",花名册!B:C,2,0)</f>
        <v>#N/A</v>
      </c>
      <c r="F3" s="46" t="e">
        <f>VLOOKUP(A3&amp;"*",工资表明细!D:AX,47,0)</f>
        <v>#N/A</v>
      </c>
      <c r="G3" s="43"/>
      <c r="I3" s="67"/>
    </row>
    <row r="4" s="47" customFormat="1" spans="1:9">
      <c r="A4" s="64" t="s">
        <v>284</v>
      </c>
      <c r="B4" s="65">
        <f t="shared" si="0"/>
        <v>3</v>
      </c>
      <c r="C4" s="66" t="e">
        <f>VLOOKUP(A4&amp;"*",花名册!B:S,17,0)</f>
        <v>#N/A</v>
      </c>
      <c r="D4" s="43" t="e">
        <f>VLOOKUP(A4&amp;"*",花名册!B:S,18,0)</f>
        <v>#N/A</v>
      </c>
      <c r="E4" s="64" t="e">
        <f>VLOOKUP(A4&amp;"*",花名册!B:C,2,0)</f>
        <v>#N/A</v>
      </c>
      <c r="F4" s="46" t="e">
        <f>VLOOKUP(A4&amp;"*",工资表明细!D:AX,47,0)</f>
        <v>#N/A</v>
      </c>
      <c r="G4" s="43"/>
      <c r="I4" s="67"/>
    </row>
    <row r="5" s="47" customFormat="1" spans="1:9">
      <c r="A5" s="64" t="s">
        <v>286</v>
      </c>
      <c r="B5" s="65">
        <f t="shared" si="0"/>
        <v>4</v>
      </c>
      <c r="C5" s="66" t="e">
        <f>VLOOKUP(A5&amp;"*",花名册!B:S,17,0)</f>
        <v>#N/A</v>
      </c>
      <c r="D5" s="43" t="e">
        <f>VLOOKUP(A5&amp;"*",花名册!B:S,18,0)</f>
        <v>#N/A</v>
      </c>
      <c r="E5" s="64" t="e">
        <f>VLOOKUP(A5&amp;"*",花名册!B:C,2,0)</f>
        <v>#N/A</v>
      </c>
      <c r="F5" s="46" t="e">
        <f>VLOOKUP(A5&amp;"*",工资表明细!D:AX,47,0)</f>
        <v>#N/A</v>
      </c>
      <c r="G5" s="43"/>
      <c r="I5" s="67"/>
    </row>
    <row r="6" s="47" customFormat="1" spans="1:9">
      <c r="A6" s="64" t="s">
        <v>302</v>
      </c>
      <c r="B6" s="65">
        <f t="shared" si="0"/>
        <v>5</v>
      </c>
      <c r="C6" s="66" t="e">
        <f>VLOOKUP(A6&amp;"*",花名册!B:S,17,0)</f>
        <v>#N/A</v>
      </c>
      <c r="D6" s="43" t="e">
        <f>VLOOKUP(A6&amp;"*",花名册!B:S,18,0)</f>
        <v>#N/A</v>
      </c>
      <c r="E6" s="64" t="e">
        <f>VLOOKUP(A6&amp;"*",花名册!B:C,2,0)</f>
        <v>#N/A</v>
      </c>
      <c r="F6" s="46" t="e">
        <f>VLOOKUP(A6&amp;"*",工资表明细!D:AX,47,0)</f>
        <v>#N/A</v>
      </c>
      <c r="G6" s="43"/>
      <c r="I6" s="67"/>
    </row>
    <row r="7" s="47" customFormat="1" spans="1:9">
      <c r="A7" s="64" t="s">
        <v>320</v>
      </c>
      <c r="B7" s="65">
        <f t="shared" si="0"/>
        <v>6</v>
      </c>
      <c r="C7" s="66" t="e">
        <f>VLOOKUP(A7&amp;"*",花名册!B:S,17,0)</f>
        <v>#N/A</v>
      </c>
      <c r="D7" s="43" t="e">
        <f>VLOOKUP(A7&amp;"*",花名册!B:S,18,0)</f>
        <v>#N/A</v>
      </c>
      <c r="E7" s="64" t="e">
        <f>VLOOKUP(A7&amp;"*",花名册!B:C,2,0)</f>
        <v>#N/A</v>
      </c>
      <c r="F7" s="46" t="e">
        <f>VLOOKUP(A7&amp;"*",工资表明细!D:AX,47,0)</f>
        <v>#N/A</v>
      </c>
      <c r="G7" s="43"/>
      <c r="I7" s="67"/>
    </row>
    <row r="8" s="47" customFormat="1" spans="1:9">
      <c r="A8" s="64" t="s">
        <v>338</v>
      </c>
      <c r="B8" s="65">
        <f t="shared" si="0"/>
        <v>7</v>
      </c>
      <c r="C8" s="66" t="e">
        <f>VLOOKUP(A8&amp;"*",花名册!B:S,17,0)</f>
        <v>#N/A</v>
      </c>
      <c r="D8" s="43" t="e">
        <f>VLOOKUP(A8&amp;"*",花名册!B:S,18,0)</f>
        <v>#N/A</v>
      </c>
      <c r="E8" s="64" t="e">
        <f>VLOOKUP(A8&amp;"*",花名册!B:C,2,0)</f>
        <v>#N/A</v>
      </c>
      <c r="F8" s="46" t="e">
        <f>VLOOKUP(A8&amp;"*",工资表明细!D:AX,47,0)</f>
        <v>#N/A</v>
      </c>
      <c r="G8" s="43"/>
      <c r="I8" s="67"/>
    </row>
    <row r="9" s="47" customFormat="1" spans="1:9">
      <c r="A9" s="64" t="s">
        <v>342</v>
      </c>
      <c r="B9" s="65">
        <f t="shared" si="0"/>
        <v>8</v>
      </c>
      <c r="C9" s="66" t="e">
        <f>VLOOKUP(A9&amp;"*",花名册!B:S,17,0)</f>
        <v>#N/A</v>
      </c>
      <c r="D9" s="43" t="e">
        <f>VLOOKUP(A9&amp;"*",花名册!B:S,18,0)</f>
        <v>#N/A</v>
      </c>
      <c r="E9" s="64" t="e">
        <f>VLOOKUP(A9&amp;"*",花名册!B:C,2,0)</f>
        <v>#N/A</v>
      </c>
      <c r="F9" s="46" t="e">
        <f>VLOOKUP(A9&amp;"*",工资表明细!D:AX,47,0)</f>
        <v>#N/A</v>
      </c>
      <c r="G9" s="43"/>
      <c r="I9" s="67"/>
    </row>
    <row r="10" s="47" customFormat="1" spans="1:9">
      <c r="A10" s="64" t="s">
        <v>366</v>
      </c>
      <c r="B10" s="65">
        <f t="shared" si="0"/>
        <v>9</v>
      </c>
      <c r="C10" s="66" t="e">
        <f>VLOOKUP(A10&amp;"*",花名册!B:S,17,0)</f>
        <v>#N/A</v>
      </c>
      <c r="D10" s="43" t="e">
        <f>VLOOKUP(A10&amp;"*",花名册!B:S,18,0)</f>
        <v>#N/A</v>
      </c>
      <c r="E10" s="64" t="e">
        <f>VLOOKUP(A10&amp;"*",花名册!B:C,2,0)</f>
        <v>#N/A</v>
      </c>
      <c r="F10" s="46" t="e">
        <f>VLOOKUP(A10&amp;"*",工资表明细!D:AX,47,0)</f>
        <v>#N/A</v>
      </c>
      <c r="G10" s="43"/>
      <c r="I10" s="67"/>
    </row>
    <row r="11" s="47" customFormat="1" spans="1:9">
      <c r="A11" s="64" t="s">
        <v>370</v>
      </c>
      <c r="B11" s="65">
        <f t="shared" si="0"/>
        <v>10</v>
      </c>
      <c r="C11" s="66" t="e">
        <f>VLOOKUP(A11&amp;"*",花名册!B:S,17,0)</f>
        <v>#N/A</v>
      </c>
      <c r="D11" s="43" t="e">
        <f>VLOOKUP(A11&amp;"*",花名册!B:S,18,0)</f>
        <v>#N/A</v>
      </c>
      <c r="E11" s="64" t="e">
        <f>VLOOKUP(A11&amp;"*",花名册!B:C,2,0)</f>
        <v>#N/A</v>
      </c>
      <c r="F11" s="46" t="e">
        <f>VLOOKUP(A11&amp;"*",工资表明细!D:AX,47,0)</f>
        <v>#N/A</v>
      </c>
      <c r="G11" s="43"/>
      <c r="I11" s="67"/>
    </row>
    <row r="12" s="47" customFormat="1" spans="1:9">
      <c r="A12" s="64" t="s">
        <v>384</v>
      </c>
      <c r="B12" s="65">
        <f t="shared" si="0"/>
        <v>11</v>
      </c>
      <c r="C12" s="66" t="e">
        <f>VLOOKUP(A12&amp;"*",花名册!B:S,17,0)</f>
        <v>#N/A</v>
      </c>
      <c r="D12" s="43" t="e">
        <f>VLOOKUP(A12&amp;"*",花名册!B:S,18,0)</f>
        <v>#N/A</v>
      </c>
      <c r="E12" s="64" t="e">
        <f>VLOOKUP(A12&amp;"*",花名册!B:C,2,0)</f>
        <v>#N/A</v>
      </c>
      <c r="F12" s="46" t="e">
        <f>VLOOKUP(A12&amp;"*",工资表明细!D:AX,47,0)</f>
        <v>#N/A</v>
      </c>
      <c r="G12" s="43"/>
      <c r="I12" s="67"/>
    </row>
    <row r="13" s="47" customFormat="1" spans="1:9">
      <c r="A13" s="64" t="s">
        <v>392</v>
      </c>
      <c r="B13" s="65">
        <f t="shared" si="0"/>
        <v>12</v>
      </c>
      <c r="C13" s="66" t="e">
        <f>VLOOKUP(A13&amp;"*",花名册!B:S,17,0)</f>
        <v>#N/A</v>
      </c>
      <c r="D13" s="43" t="e">
        <f>VLOOKUP(A13&amp;"*",花名册!B:S,18,0)</f>
        <v>#N/A</v>
      </c>
      <c r="E13" s="64" t="e">
        <f>VLOOKUP(A13&amp;"*",花名册!B:C,2,0)</f>
        <v>#N/A</v>
      </c>
      <c r="F13" s="46" t="e">
        <f>VLOOKUP(A13&amp;"*",工资表明细!D:AX,47,0)</f>
        <v>#N/A</v>
      </c>
      <c r="G13" s="43"/>
      <c r="I13" s="67"/>
    </row>
    <row r="14" s="47" customFormat="1" spans="1:9">
      <c r="A14" s="64" t="s">
        <v>394</v>
      </c>
      <c r="B14" s="65">
        <f t="shared" si="0"/>
        <v>13</v>
      </c>
      <c r="C14" s="66" t="e">
        <f>VLOOKUP(A14&amp;"*",花名册!B:S,17,0)</f>
        <v>#N/A</v>
      </c>
      <c r="D14" s="43" t="e">
        <f>VLOOKUP(A14&amp;"*",花名册!B:S,18,0)</f>
        <v>#N/A</v>
      </c>
      <c r="E14" s="64" t="e">
        <f>VLOOKUP(A14&amp;"*",花名册!B:C,2,0)</f>
        <v>#N/A</v>
      </c>
      <c r="F14" s="46" t="e">
        <f>VLOOKUP(A14&amp;"*",工资表明细!D:AX,47,0)</f>
        <v>#N/A</v>
      </c>
      <c r="G14" s="43"/>
      <c r="I14" s="67"/>
    </row>
    <row r="15" s="47" customFormat="1" spans="1:9">
      <c r="A15" s="64" t="s">
        <v>421</v>
      </c>
      <c r="B15" s="65">
        <f t="shared" si="0"/>
        <v>14</v>
      </c>
      <c r="C15" s="66" t="e">
        <f>VLOOKUP(A15&amp;"*",花名册!B:S,17,0)</f>
        <v>#N/A</v>
      </c>
      <c r="D15" s="43" t="e">
        <f>VLOOKUP(A15&amp;"*",花名册!B:S,18,0)</f>
        <v>#N/A</v>
      </c>
      <c r="E15" s="64" t="e">
        <f>VLOOKUP(A15&amp;"*",花名册!B:C,2,0)</f>
        <v>#N/A</v>
      </c>
      <c r="F15" s="46" t="e">
        <f>VLOOKUP(A15&amp;"*",工资表明细!D:AX,47,0)</f>
        <v>#N/A</v>
      </c>
      <c r="G15" s="43"/>
      <c r="I15" s="67"/>
    </row>
    <row r="16" s="47" customFormat="1" spans="1:9">
      <c r="A16" s="64" t="s">
        <v>419</v>
      </c>
      <c r="B16" s="65">
        <f t="shared" si="0"/>
        <v>15</v>
      </c>
      <c r="C16" s="66" t="e">
        <f>VLOOKUP(A16&amp;"*",花名册!B:S,17,0)</f>
        <v>#N/A</v>
      </c>
      <c r="D16" s="43" t="e">
        <f>VLOOKUP(A16&amp;"*",花名册!B:S,18,0)</f>
        <v>#N/A</v>
      </c>
      <c r="E16" s="64" t="e">
        <f>VLOOKUP(A16&amp;"*",花名册!B:C,2,0)</f>
        <v>#N/A</v>
      </c>
      <c r="F16" s="46" t="e">
        <f>VLOOKUP(A16&amp;"*",工资表明细!D:AX,47,0)</f>
        <v>#N/A</v>
      </c>
      <c r="G16" s="43"/>
      <c r="I16" s="67"/>
    </row>
    <row r="17" s="47" customFormat="1" spans="1:10">
      <c r="A17" s="64" t="s">
        <v>410</v>
      </c>
      <c r="B17" s="65">
        <f t="shared" si="0"/>
        <v>16</v>
      </c>
      <c r="C17" s="66" t="e">
        <f>VLOOKUP(A17&amp;"*",花名册!B:S,17,0)</f>
        <v>#N/A</v>
      </c>
      <c r="D17" s="43" t="e">
        <f>VLOOKUP(A17&amp;"*",花名册!B:S,18,0)</f>
        <v>#N/A</v>
      </c>
      <c r="E17" s="64" t="e">
        <f>VLOOKUP(A17&amp;"*",花名册!B:C,2,0)</f>
        <v>#N/A</v>
      </c>
      <c r="F17" s="46" t="e">
        <f>VLOOKUP(A17&amp;"*",工资表明细!D:AX,47,0)</f>
        <v>#N/A</v>
      </c>
      <c r="G17" s="43"/>
      <c r="I17" s="67"/>
    </row>
    <row r="18" s="47" customFormat="1" spans="1:10">
      <c r="A18" s="64"/>
      <c r="B18" s="65"/>
      <c r="C18" s="66"/>
      <c r="D18" s="43"/>
      <c r="E18" s="64"/>
      <c r="F18" s="46" t="e">
        <f>SUM(F2:F17)</f>
        <v>#N/A</v>
      </c>
      <c r="G18" s="43"/>
      <c r="I18" s="67"/>
    </row>
    <row r="19" s="47" customFormat="1" spans="1:10">
      <c r="A19" s="64"/>
      <c r="B19" s="65"/>
      <c r="C19" s="66"/>
      <c r="D19" s="43"/>
      <c r="E19" s="64"/>
      <c r="F19" s="46"/>
      <c r="G19" s="43"/>
      <c r="I19" s="67"/>
    </row>
    <row r="20" s="47" customFormat="1" spans="1:10">
      <c r="A20" s="64"/>
      <c r="B20" s="65"/>
      <c r="C20" s="66"/>
      <c r="D20" s="43"/>
      <c r="E20" s="64"/>
      <c r="F20" s="46"/>
      <c r="G20" s="43"/>
      <c r="I20" s="67"/>
    </row>
    <row r="21" s="47" customFormat="1" spans="1:10">
      <c r="A21" s="64"/>
      <c r="B21" s="65"/>
      <c r="C21" s="66"/>
      <c r="D21" s="43"/>
      <c r="E21" s="64"/>
      <c r="F21" s="46"/>
      <c r="G21" s="43"/>
      <c r="I21" s="67"/>
    </row>
    <row r="22" s="47" customFormat="1" spans="1:10">
      <c r="A22" s="64"/>
      <c r="B22" s="65"/>
      <c r="C22" s="66"/>
      <c r="D22" s="43"/>
      <c r="E22" s="64"/>
      <c r="F22" s="46"/>
      <c r="G22" s="43"/>
      <c r="I22" s="67"/>
    </row>
    <row r="23" s="47" customFormat="1" spans="1:10">
      <c r="A23" s="64"/>
      <c r="B23" s="65"/>
      <c r="C23" s="66"/>
      <c r="D23" s="43"/>
      <c r="E23" s="64"/>
      <c r="F23" s="46"/>
      <c r="G23" s="43"/>
      <c r="I23" s="67"/>
    </row>
    <row r="24" s="47" customFormat="1" spans="1:10">
      <c r="A24" s="64"/>
      <c r="B24" s="65"/>
      <c r="C24" s="66"/>
      <c r="D24" s="43"/>
      <c r="E24" s="64"/>
      <c r="F24" s="46"/>
      <c r="G24" s="43"/>
      <c r="I24" s="67"/>
    </row>
    <row r="25" s="68" customFormat="1" ht="16.5" customHeight="1" spans="1:10">
      <c r="A25" s="69"/>
      <c r="B25" s="69"/>
      <c r="C25" s="70"/>
      <c r="D25" s="69"/>
      <c r="E25" s="71"/>
      <c r="F25" s="69"/>
      <c r="G25" s="69"/>
      <c r="H25" s="47"/>
      <c r="I25" s="47"/>
      <c r="J25" s="47"/>
    </row>
    <row r="26" s="68" customFormat="1" ht="15" customHeight="1" spans="1:10">
      <c r="A26" s="69"/>
      <c r="B26" s="69"/>
      <c r="C26" s="72"/>
      <c r="D26" s="73"/>
      <c r="E26" s="74"/>
      <c r="F26" s="73"/>
      <c r="G26" s="69"/>
      <c r="H26" s="47"/>
      <c r="I26" s="47"/>
      <c r="J26" s="47"/>
    </row>
    <row r="27" s="68" customFormat="1" ht="16.5" customHeight="1" spans="1:10">
      <c r="A27" s="73"/>
      <c r="B27" s="73"/>
      <c r="C27" s="72"/>
      <c r="D27" s="73"/>
      <c r="E27" s="74"/>
      <c r="F27" s="73"/>
      <c r="G27" s="73"/>
      <c r="H27" s="47"/>
      <c r="I27" s="47"/>
      <c r="J27" s="47"/>
    </row>
    <row r="28" s="68" customFormat="1" ht="18" customHeight="1" spans="1:10">
      <c r="A28" s="73"/>
      <c r="B28" s="73"/>
      <c r="C28" s="44"/>
      <c r="D28" s="43"/>
      <c r="E28" s="45"/>
      <c r="F28" s="46"/>
      <c r="G28" s="73"/>
      <c r="H28" s="47"/>
      <c r="I28" s="47"/>
      <c r="J28" s="47"/>
    </row>
    <row r="57" spans="6:6">
      <c r="F57" s="46" t="e">
        <f>SUM(F2:F56)</f>
        <v>#N/A</v>
      </c>
    </row>
  </sheetData>
  <conditionalFormatting sqref="A1:B1">
    <cfRule type="duplicateValues" dxfId="0" priority="34"/>
  </conditionalFormatting>
  <conditionalFormatting sqref="E1">
    <cfRule type="duplicateValues" dxfId="0" priority="17"/>
  </conditionalFormatting>
  <conditionalFormatting sqref="A3">
    <cfRule type="duplicateValues" dxfId="0" priority="32"/>
  </conditionalFormatting>
  <conditionalFormatting sqref="A4">
    <cfRule type="duplicateValues" dxfId="0" priority="31"/>
  </conditionalFormatting>
  <conditionalFormatting sqref="A5">
    <cfRule type="duplicateValues" dxfId="0" priority="30"/>
  </conditionalFormatting>
  <conditionalFormatting sqref="A6">
    <cfRule type="duplicateValues" dxfId="0" priority="29"/>
  </conditionalFormatting>
  <conditionalFormatting sqref="A7">
    <cfRule type="duplicateValues" dxfId="0" priority="28"/>
  </conditionalFormatting>
  <conditionalFormatting sqref="A8">
    <cfRule type="duplicateValues" dxfId="0" priority="27"/>
  </conditionalFormatting>
  <conditionalFormatting sqref="A9">
    <cfRule type="duplicateValues" dxfId="0" priority="26"/>
  </conditionalFormatting>
  <conditionalFormatting sqref="A10">
    <cfRule type="duplicateValues" dxfId="0" priority="25"/>
  </conditionalFormatting>
  <conditionalFormatting sqref="A11">
    <cfRule type="duplicateValues" dxfId="0" priority="24"/>
  </conditionalFormatting>
  <conditionalFormatting sqref="A12">
    <cfRule type="duplicateValues" dxfId="0" priority="23"/>
  </conditionalFormatting>
  <conditionalFormatting sqref="A13">
    <cfRule type="duplicateValues" dxfId="0" priority="22"/>
  </conditionalFormatting>
  <conditionalFormatting sqref="A14">
    <cfRule type="duplicateValues" dxfId="0" priority="21"/>
  </conditionalFormatting>
  <conditionalFormatting sqref="A15">
    <cfRule type="duplicateValues" dxfId="0" priority="18"/>
  </conditionalFormatting>
  <conditionalFormatting sqref="E2:E17">
    <cfRule type="duplicateValues" dxfId="0" priority="16"/>
  </conditionalFormatting>
  <conditionalFormatting sqref="E18:E24">
    <cfRule type="duplicateValues" dxfId="0" priority="36"/>
  </conditionalFormatting>
  <conditionalFormatting sqref="A2:B2 B3:B17">
    <cfRule type="duplicateValues" dxfId="0" priority="33"/>
  </conditionalFormatting>
  <conditionalFormatting sqref="A16:A17 A18:B24">
    <cfRule type="duplicateValues" dxfId="0" priority="49"/>
  </conditionalFormatting>
  <pageMargins left="0.7" right="0.7" top="0.75" bottom="0.75" header="0.3" footer="0.3"/>
  <pageSetup paperSize="169" orientation="portrait" horizontalDpi="600" verticalDpi="6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zoomScaleSheetLayoutView="60" workbookViewId="0">
      <selection activeCell="F56" sqref="F56"/>
    </sheetView>
  </sheetViews>
  <sheetFormatPr defaultColWidth="7.61946902654867" defaultRowHeight="13.5"/>
  <cols>
    <col min="1" max="1" width="20.3716814159292" style="43" customWidth="1"/>
    <col min="2" max="2" width="5.12389380530973" style="43" customWidth="1"/>
    <col min="3" max="3" width="21.5044247787611" style="44" customWidth="1"/>
    <col min="4" max="4" width="21.5044247787611" style="43" customWidth="1"/>
    <col min="5" max="5" width="12.1150442477876" style="45" customWidth="1"/>
    <col min="6" max="6" width="11.7522123893805" style="46" customWidth="1"/>
    <col min="7" max="7" width="10.8672566371681" style="43" customWidth="1"/>
    <col min="8" max="8" width="11.7522123893805" style="47"/>
    <col min="9" max="9" width="9.6283185840708" style="47"/>
    <col min="10" max="16384" width="7.61946902654867" style="47"/>
  </cols>
  <sheetData>
    <row r="1" s="47" customFormat="1" spans="1:9">
      <c r="A1" s="64" t="s">
        <v>47</v>
      </c>
      <c r="B1" s="65" t="s">
        <v>526</v>
      </c>
      <c r="C1" s="66" t="s">
        <v>527</v>
      </c>
      <c r="D1" s="43" t="s">
        <v>528</v>
      </c>
      <c r="E1" s="64" t="s">
        <v>46</v>
      </c>
      <c r="F1" s="46" t="s">
        <v>10</v>
      </c>
      <c r="G1" s="43" t="s">
        <v>40</v>
      </c>
      <c r="I1" s="67"/>
    </row>
    <row r="2" s="47" customFormat="1" spans="1:9">
      <c r="A2" s="64" t="s">
        <v>344</v>
      </c>
      <c r="B2" s="65">
        <f>ROW()-1</f>
        <v>1</v>
      </c>
      <c r="C2" s="66" t="e">
        <f>VLOOKUP(A2&amp;"*",花名册!B:S,17,0)</f>
        <v>#N/A</v>
      </c>
      <c r="D2" s="43" t="e">
        <f>VLOOKUP(A2&amp;"*",花名册!B:S,18,0)</f>
        <v>#N/A</v>
      </c>
      <c r="E2" s="64" t="e">
        <f>VLOOKUP(A2&amp;"*",花名册!B:C,2,0)</f>
        <v>#N/A</v>
      </c>
      <c r="F2" s="46" t="e">
        <f>VLOOKUP(A2&amp;"*",工资表明细!D:AX,47,0)</f>
        <v>#N/A</v>
      </c>
      <c r="G2" s="43"/>
      <c r="I2" s="67"/>
    </row>
    <row r="3" s="47" customFormat="1" spans="1:9">
      <c r="A3" s="225" t="s">
        <v>348</v>
      </c>
      <c r="B3" s="65">
        <f>ROW()-1</f>
        <v>2</v>
      </c>
      <c r="C3" s="66" t="e">
        <f>VLOOKUP(A3&amp;"*",花名册!B:S,17,0)</f>
        <v>#N/A</v>
      </c>
      <c r="D3" s="43" t="e">
        <f>VLOOKUP(A3&amp;"*",花名册!B:S,18,0)</f>
        <v>#N/A</v>
      </c>
      <c r="E3" s="64" t="e">
        <f>VLOOKUP(A3&amp;"*",花名册!B:C,2,0)</f>
        <v>#N/A</v>
      </c>
      <c r="F3" s="46" t="e">
        <f>VLOOKUP(A3&amp;"*",工资表明细!D:AX,47,0)</f>
        <v>#N/A</v>
      </c>
      <c r="G3" s="43"/>
      <c r="I3" s="67"/>
    </row>
    <row r="4" spans="1:9">
      <c r="F4" s="46" t="e">
        <f>SUM(F2:F3)</f>
        <v>#N/A</v>
      </c>
    </row>
    <row r="56" spans="6:6">
      <c r="F56" s="46" t="e">
        <f>SUM(F2:F55)</f>
        <v>#N/A</v>
      </c>
    </row>
  </sheetData>
  <conditionalFormatting sqref="A1:B1">
    <cfRule type="duplicateValues" dxfId="0" priority="5"/>
  </conditionalFormatting>
  <conditionalFormatting sqref="E1">
    <cfRule type="duplicateValues" dxfId="0" priority="2"/>
  </conditionalFormatting>
  <conditionalFormatting sqref="A3">
    <cfRule type="duplicateValues" dxfId="0" priority="3"/>
  </conditionalFormatting>
  <conditionalFormatting sqref="E2:E3">
    <cfRule type="duplicateValues" dxfId="0" priority="1"/>
  </conditionalFormatting>
  <conditionalFormatting sqref="A2:B2 B3">
    <cfRule type="duplicateValues" dxfId="0" priority="4"/>
  </conditionalFormatting>
  <pageMargins left="0.7" right="0.7" top="0.75" bottom="0.75" header="0.3" footer="0.3"/>
  <pageSetup paperSize="169" orientation="portrait" horizontalDpi="600" verticalDpi="6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zoomScaleSheetLayoutView="60" workbookViewId="0">
      <selection activeCell="F56" sqref="F56"/>
    </sheetView>
  </sheetViews>
  <sheetFormatPr defaultColWidth="7.61946902654867" defaultRowHeight="13.5"/>
  <cols>
    <col min="1" max="1" width="20.3716814159292" style="43" customWidth="1"/>
    <col min="2" max="2" width="5.12389380530973" style="43" customWidth="1"/>
    <col min="3" max="3" width="21.5044247787611" style="44" customWidth="1"/>
    <col min="4" max="4" width="21.5044247787611" style="43" customWidth="1"/>
    <col min="5" max="5" width="12.1150442477876" style="45" customWidth="1"/>
    <col min="6" max="6" width="11.7522123893805" style="46" customWidth="1"/>
    <col min="7" max="7" width="10.8672566371681" style="43" customWidth="1"/>
    <col min="8" max="8" width="11.7522123893805" style="47"/>
    <col min="9" max="9" width="9.6283185840708" style="47"/>
    <col min="10" max="16384" width="7.61946902654867" style="47"/>
  </cols>
  <sheetData>
    <row r="1" s="47" customFormat="1" spans="1:9">
      <c r="A1" s="64" t="s">
        <v>47</v>
      </c>
      <c r="B1" s="65" t="s">
        <v>526</v>
      </c>
      <c r="C1" s="66" t="s">
        <v>527</v>
      </c>
      <c r="D1" s="43" t="s">
        <v>528</v>
      </c>
      <c r="E1" s="64" t="s">
        <v>46</v>
      </c>
      <c r="F1" s="46" t="s">
        <v>10</v>
      </c>
      <c r="G1" s="43" t="s">
        <v>40</v>
      </c>
      <c r="I1" s="67"/>
    </row>
    <row r="2" s="47" customFormat="1" spans="1:9">
      <c r="A2" s="64" t="s">
        <v>288</v>
      </c>
      <c r="B2" s="65">
        <f>ROW()-1</f>
        <v>1</v>
      </c>
      <c r="C2" s="66" t="e">
        <f>VLOOKUP(A2&amp;"*",花名册!B:S,17,0)</f>
        <v>#N/A</v>
      </c>
      <c r="D2" s="43" t="e">
        <f>VLOOKUP(A2&amp;"*",花名册!B:S,18,0)</f>
        <v>#N/A</v>
      </c>
      <c r="E2" s="64" t="e">
        <f>VLOOKUP(A2&amp;"*",花名册!B:C,2,0)</f>
        <v>#N/A</v>
      </c>
      <c r="F2" s="46" t="e">
        <f>VLOOKUP(A2&amp;"*",工资表明细!D:AX,47,0)</f>
        <v>#N/A</v>
      </c>
      <c r="G2" s="43"/>
      <c r="I2" s="67"/>
    </row>
    <row r="3" s="47" customFormat="1" spans="1:9">
      <c r="A3" s="64" t="s">
        <v>306</v>
      </c>
      <c r="B3" s="65">
        <f>ROW()-1</f>
        <v>2</v>
      </c>
      <c r="C3" s="66" t="e">
        <f>VLOOKUP(A3&amp;"*",花名册!B:S,17,0)</f>
        <v>#N/A</v>
      </c>
      <c r="D3" s="43" t="e">
        <f>VLOOKUP(A3&amp;"*",花名册!B:S,18,0)</f>
        <v>#N/A</v>
      </c>
      <c r="E3" s="64" t="e">
        <f>VLOOKUP(A3&amp;"*",花名册!B:C,2,0)</f>
        <v>#N/A</v>
      </c>
      <c r="F3" s="46" t="e">
        <f>VLOOKUP(A3&amp;"*",工资表明细!D:AX,47,0)</f>
        <v>#N/A</v>
      </c>
      <c r="G3" s="43"/>
      <c r="I3" s="67"/>
    </row>
    <row r="4" spans="1:9">
      <c r="F4" s="46" t="e">
        <f>SUM(F2:F3)</f>
        <v>#N/A</v>
      </c>
    </row>
    <row r="56" spans="6:6">
      <c r="F56" s="46" t="e">
        <f>SUM(F2:F55)</f>
        <v>#N/A</v>
      </c>
    </row>
  </sheetData>
  <conditionalFormatting sqref="A1:B1">
    <cfRule type="duplicateValues" dxfId="0" priority="5"/>
  </conditionalFormatting>
  <conditionalFormatting sqref="E1">
    <cfRule type="duplicateValues" dxfId="0" priority="2"/>
  </conditionalFormatting>
  <conditionalFormatting sqref="A3">
    <cfRule type="duplicateValues" dxfId="0" priority="3"/>
  </conditionalFormatting>
  <conditionalFormatting sqref="E2:E3">
    <cfRule type="duplicateValues" dxfId="0" priority="1"/>
  </conditionalFormatting>
  <conditionalFormatting sqref="A2:B2 B3">
    <cfRule type="duplicateValues" dxfId="0" priority="4"/>
  </conditionalFormatting>
  <pageMargins left="0.7" right="0.7" top="0.75" bottom="0.75" header="0.3" footer="0.3"/>
  <pageSetup paperSize="169" orientation="portrait" horizontalDpi="600" verticalDpi="6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zoomScaleSheetLayoutView="60" workbookViewId="0">
      <selection activeCell="A2" sqref="A2:G2"/>
    </sheetView>
  </sheetViews>
  <sheetFormatPr defaultColWidth="7.61946902654867" defaultRowHeight="13.5" outlineLevelCol="7"/>
  <cols>
    <col min="1" max="1" width="8.87610619469027" style="43" customWidth="1"/>
    <col min="2" max="2" width="5.12389380530973" style="43" customWidth="1"/>
    <col min="3" max="3" width="21.5044247787611" style="44" customWidth="1"/>
    <col min="4" max="4" width="21.5044247787611" style="43" customWidth="1"/>
    <col min="5" max="5" width="12.1150442477876" style="45" customWidth="1"/>
    <col min="6" max="6" width="11.7522123893805" style="46" customWidth="1"/>
    <col min="7" max="7" width="10.8672566371681" style="43" customWidth="1"/>
    <col min="8" max="8" width="11.7522123893805" style="47"/>
    <col min="9" max="9" width="9.6283185840708" style="47"/>
    <col min="10" max="16384" width="7.61946902654867" style="47"/>
  </cols>
  <sheetData>
    <row r="1" ht="15.75" spans="1:8">
      <c r="A1" s="48" t="s">
        <v>26</v>
      </c>
      <c r="B1" s="48" t="s">
        <v>46</v>
      </c>
      <c r="C1" s="49" t="s">
        <v>529</v>
      </c>
      <c r="D1" s="49" t="s">
        <v>530</v>
      </c>
      <c r="E1" s="49" t="s">
        <v>146</v>
      </c>
      <c r="F1" s="48" t="s">
        <v>531</v>
      </c>
      <c r="G1" s="49" t="s">
        <v>532</v>
      </c>
      <c r="H1" s="49" t="s">
        <v>533</v>
      </c>
    </row>
    <row r="2" ht="15.75" spans="1:8">
      <c r="A2" s="50"/>
      <c r="B2" s="51"/>
      <c r="C2" s="52"/>
      <c r="D2" s="49"/>
      <c r="E2" s="52"/>
      <c r="F2" s="53"/>
      <c r="G2" s="54"/>
      <c r="H2" s="54"/>
    </row>
    <row r="11" ht="14.25"/>
    <row r="12" s="42" customFormat="1" ht="15.75" spans="1:8">
      <c r="A12" s="55" t="s">
        <v>534</v>
      </c>
      <c r="B12" s="56" t="s">
        <v>535</v>
      </c>
      <c r="C12" s="57"/>
      <c r="D12" s="57"/>
      <c r="E12" s="57"/>
      <c r="F12" s="57"/>
      <c r="G12" s="57"/>
      <c r="H12" s="57"/>
    </row>
    <row r="13" s="42" customFormat="1" ht="15.75" spans="1:8">
      <c r="A13" s="58" t="s">
        <v>26</v>
      </c>
      <c r="B13" s="59" t="s">
        <v>536</v>
      </c>
      <c r="C13" s="60"/>
      <c r="D13" s="60"/>
      <c r="E13" s="60"/>
      <c r="F13" s="60"/>
      <c r="G13" s="60"/>
      <c r="H13" s="60"/>
    </row>
    <row r="14" s="42" customFormat="1" ht="15.75" spans="1:8">
      <c r="A14" s="58" t="s">
        <v>46</v>
      </c>
      <c r="B14" s="59" t="s">
        <v>537</v>
      </c>
      <c r="C14" s="60"/>
      <c r="D14" s="60"/>
      <c r="E14" s="60"/>
      <c r="F14" s="60"/>
      <c r="G14" s="60"/>
      <c r="H14" s="60"/>
    </row>
    <row r="15" s="42" customFormat="1" ht="15.75" spans="1:8">
      <c r="A15" s="58" t="s">
        <v>529</v>
      </c>
      <c r="B15" s="59" t="s">
        <v>538</v>
      </c>
      <c r="C15" s="60"/>
      <c r="D15" s="60"/>
      <c r="E15" s="60"/>
      <c r="F15" s="60"/>
      <c r="G15" s="60"/>
      <c r="H15" s="60"/>
    </row>
    <row r="16" s="42" customFormat="1" ht="34.5" customHeight="1" spans="1:8">
      <c r="A16" s="58" t="s">
        <v>530</v>
      </c>
      <c r="B16" s="59" t="s">
        <v>539</v>
      </c>
      <c r="C16" s="60"/>
      <c r="D16" s="60"/>
      <c r="E16" s="60"/>
      <c r="F16" s="60"/>
      <c r="G16" s="60"/>
      <c r="H16" s="60"/>
    </row>
    <row r="17" s="42" customFormat="1" ht="24.75" customHeight="1" spans="1:8">
      <c r="A17" s="58" t="s">
        <v>146</v>
      </c>
      <c r="B17" s="59" t="s">
        <v>540</v>
      </c>
      <c r="C17" s="60"/>
      <c r="D17" s="60"/>
      <c r="E17" s="60"/>
      <c r="F17" s="60"/>
      <c r="G17" s="60"/>
      <c r="H17" s="60"/>
    </row>
    <row r="18" s="42" customFormat="1" ht="15.75" customHeight="1" spans="1:8">
      <c r="A18" s="58" t="s">
        <v>531</v>
      </c>
      <c r="B18" s="59" t="s">
        <v>541</v>
      </c>
      <c r="C18" s="60"/>
      <c r="D18" s="60"/>
      <c r="E18" s="60"/>
      <c r="F18" s="60"/>
      <c r="G18" s="60"/>
      <c r="H18" s="60"/>
    </row>
    <row r="19" s="42" customFormat="1" ht="23.25" customHeight="1" spans="1:8">
      <c r="A19" s="58" t="s">
        <v>542</v>
      </c>
      <c r="B19" s="59" t="s">
        <v>543</v>
      </c>
      <c r="C19" s="60"/>
      <c r="D19" s="60"/>
      <c r="E19" s="60"/>
      <c r="F19" s="60"/>
      <c r="G19" s="60"/>
      <c r="H19" s="60"/>
    </row>
    <row r="20" s="42" customFormat="1" ht="23.25" customHeight="1" spans="1:8">
      <c r="A20" s="61" t="s">
        <v>544</v>
      </c>
      <c r="B20" s="61"/>
      <c r="C20" s="61"/>
      <c r="D20" s="61"/>
      <c r="E20" s="61"/>
      <c r="F20" s="61"/>
      <c r="G20" s="61"/>
      <c r="H20" s="61"/>
    </row>
    <row r="21" s="42" customFormat="1" ht="14.25" customHeight="1" spans="1:8">
      <c r="A21" s="61"/>
      <c r="B21" s="61"/>
      <c r="C21" s="61"/>
      <c r="D21" s="61"/>
      <c r="E21" s="61"/>
      <c r="F21" s="61"/>
      <c r="G21" s="61"/>
      <c r="H21" s="61"/>
    </row>
    <row r="22" s="42" customFormat="1" ht="15.75" spans="1:8">
      <c r="A22" s="61"/>
      <c r="B22" s="61"/>
      <c r="C22" s="61"/>
      <c r="D22" s="61"/>
      <c r="E22" s="61"/>
      <c r="F22" s="61"/>
      <c r="G22" s="61"/>
      <c r="H22" s="61"/>
    </row>
    <row r="23" s="42" customFormat="1" ht="58.5" customHeight="1" spans="1:8">
      <c r="A23" s="62"/>
      <c r="B23" s="62"/>
      <c r="C23" s="63"/>
      <c r="D23" s="63"/>
      <c r="E23" s="63"/>
      <c r="F23" s="62"/>
      <c r="G23" s="62"/>
      <c r="H23" s="62"/>
    </row>
  </sheetData>
  <protectedRanges>
    <protectedRange sqref="B1" name="区域1_3"/>
    <protectedRange sqref="A2:B2" name="区域1_4"/>
    <protectedRange sqref="C2" name="区域1_4_1"/>
    <protectedRange sqref="E2:F2" name="区域1_4_2"/>
  </protectedRanges>
  <mergeCells count="9">
    <mergeCell ref="B12:H12"/>
    <mergeCell ref="B13:H13"/>
    <mergeCell ref="B14:H14"/>
    <mergeCell ref="B15:H15"/>
    <mergeCell ref="B16:H16"/>
    <mergeCell ref="B17:H17"/>
    <mergeCell ref="B18:H18"/>
    <mergeCell ref="B19:H19"/>
    <mergeCell ref="A20:H22"/>
  </mergeCells>
  <pageMargins left="0.7" right="0.7" top="0.75" bottom="0.75" header="0.3" footer="0.3"/>
  <pageSetup paperSize="169" orientation="portrait" horizontalDpi="600" verticalDpi="6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AY2"/>
  <sheetViews>
    <sheetView workbookViewId="0">
      <selection activeCell="B2" sqref="B2:M2"/>
    </sheetView>
  </sheetViews>
  <sheetFormatPr defaultColWidth="9" defaultRowHeight="22.5" customHeight="1" outlineLevelRow="1"/>
  <cols>
    <col min="1" max="1" width="9.66371681415929" style="21" customWidth="1"/>
    <col min="2" max="2" width="11" style="21" customWidth="1"/>
    <col min="3" max="3" width="22.3362831858407" style="21" customWidth="1"/>
    <col min="4" max="4" width="19.5044247787611" style="21" customWidth="1"/>
    <col min="5" max="5" width="13.5044247787611" style="22" customWidth="1"/>
    <col min="6" max="6" width="7.33628318584071" style="21" customWidth="1"/>
    <col min="7" max="7" width="11.3362831858407" style="23" customWidth="1"/>
    <col min="8" max="8" width="19" style="21" customWidth="1"/>
    <col min="9" max="9" width="19.5044247787611" style="21" customWidth="1"/>
    <col min="10" max="10" width="17.9203539823009" style="20" customWidth="1"/>
    <col min="11" max="11" width="19.5044247787611" style="21" customWidth="1"/>
    <col min="12" max="12" width="11.8318584070796" style="21" customWidth="1"/>
    <col min="13" max="13" width="17.1681415929204" style="23" customWidth="1"/>
    <col min="14" max="14" width="12.1681415929204" style="23" customWidth="1"/>
    <col min="15" max="15" width="17.4159292035398" style="24"/>
    <col min="16" max="16" width="15.5840707964602" style="25"/>
    <col min="17" max="19" width="9.50442477876106" style="26" customWidth="1"/>
    <col min="20" max="22" width="12" style="26" customWidth="1"/>
    <col min="23" max="23" width="18.8318584070796" style="21" customWidth="1"/>
    <col min="24" max="24" width="12.6637168141593" style="27" customWidth="1"/>
    <col min="25" max="25" width="17.1681415929204" style="28" customWidth="1"/>
    <col min="26" max="26" width="15.8318584070796" style="21" customWidth="1"/>
    <col min="27" max="27" width="12.5044247787611" style="21" customWidth="1"/>
    <col min="28" max="28" width="12.5044247787611" style="29" customWidth="1"/>
    <col min="29" max="29" width="16.5044247787611" style="29" customWidth="1"/>
    <col min="30" max="31" width="14.3362831858407" style="23" customWidth="1"/>
    <col min="32" max="32" width="27.8318584070796" style="21" customWidth="1"/>
    <col min="33" max="33" width="18.3362831858407" style="21" customWidth="1"/>
    <col min="34" max="35" width="18" style="21" customWidth="1"/>
    <col min="36" max="36" width="20.3362831858407" style="21" customWidth="1"/>
    <col min="37" max="37" width="24" style="21" customWidth="1"/>
    <col min="38" max="38" width="18" style="21" customWidth="1"/>
    <col min="39" max="39" width="17.5044247787611" style="21" customWidth="1"/>
    <col min="40" max="40" width="19.6637168141593" style="21" customWidth="1"/>
    <col min="41" max="41" width="24.5044247787611" style="21" customWidth="1"/>
    <col min="42" max="43" width="16" style="21" customWidth="1"/>
    <col min="44" max="44" width="18" style="21" customWidth="1"/>
    <col min="45" max="45" width="27.8318584070796" style="21" customWidth="1"/>
    <col min="46" max="46" width="12.5044247787611" style="21" customWidth="1"/>
    <col min="47" max="47" width="14.1681415929204" style="21" customWidth="1"/>
    <col min="48" max="48" width="17.5044247787611" style="21" customWidth="1"/>
    <col min="49" max="49" width="19.8318584070796" style="30" customWidth="1"/>
    <col min="50" max="50" width="13.8318584070796" style="30" customWidth="1"/>
    <col min="51" max="51" width="8.83185840707965" style="30" customWidth="1"/>
    <col min="52" max="16384" width="9" style="20"/>
  </cols>
  <sheetData>
    <row r="1" s="19" customFormat="1" customHeight="1" spans="1:51">
      <c r="A1" s="31" t="s">
        <v>42</v>
      </c>
      <c r="B1" s="32" t="s">
        <v>545</v>
      </c>
      <c r="C1" s="32" t="s">
        <v>546</v>
      </c>
      <c r="D1" s="32" t="s">
        <v>547</v>
      </c>
      <c r="E1" s="33" t="s">
        <v>548</v>
      </c>
      <c r="F1" s="32" t="s">
        <v>549</v>
      </c>
      <c r="G1" s="34" t="s">
        <v>550</v>
      </c>
      <c r="H1" s="31" t="s">
        <v>551</v>
      </c>
      <c r="I1" s="32" t="s">
        <v>552</v>
      </c>
      <c r="J1" s="31" t="s">
        <v>553</v>
      </c>
      <c r="K1" s="31" t="s">
        <v>554</v>
      </c>
      <c r="L1" s="32" t="s">
        <v>555</v>
      </c>
      <c r="M1" s="35" t="s">
        <v>556</v>
      </c>
      <c r="N1" s="36" t="s">
        <v>50</v>
      </c>
      <c r="O1" s="36" t="s">
        <v>557</v>
      </c>
      <c r="P1" s="36" t="s">
        <v>558</v>
      </c>
      <c r="Q1" s="37" t="s">
        <v>559</v>
      </c>
      <c r="R1" s="37" t="s">
        <v>560</v>
      </c>
      <c r="S1" s="37" t="s">
        <v>561</v>
      </c>
      <c r="T1" s="38" t="s">
        <v>562</v>
      </c>
      <c r="U1" s="31" t="s">
        <v>563</v>
      </c>
      <c r="V1" s="31" t="s">
        <v>564</v>
      </c>
      <c r="W1" s="31" t="s">
        <v>565</v>
      </c>
      <c r="X1" s="39" t="s">
        <v>566</v>
      </c>
      <c r="Y1" s="40" t="s">
        <v>567</v>
      </c>
      <c r="Z1" s="31" t="s">
        <v>40</v>
      </c>
      <c r="AA1" s="37" t="s">
        <v>568</v>
      </c>
      <c r="AB1" s="37" t="s">
        <v>569</v>
      </c>
      <c r="AC1" s="37" t="s">
        <v>570</v>
      </c>
      <c r="AD1" s="41" t="s">
        <v>571</v>
      </c>
      <c r="AE1" s="41" t="s">
        <v>572</v>
      </c>
      <c r="AF1" s="31" t="s">
        <v>573</v>
      </c>
      <c r="AG1" s="31" t="s">
        <v>574</v>
      </c>
      <c r="AH1" s="31" t="s">
        <v>575</v>
      </c>
      <c r="AI1" s="31" t="s">
        <v>576</v>
      </c>
      <c r="AJ1" s="31" t="s">
        <v>577</v>
      </c>
      <c r="AK1" s="31" t="s">
        <v>578</v>
      </c>
      <c r="AL1" s="31" t="s">
        <v>579</v>
      </c>
      <c r="AM1" s="31" t="s">
        <v>580</v>
      </c>
      <c r="AN1" s="31" t="s">
        <v>581</v>
      </c>
      <c r="AO1" s="31" t="s">
        <v>582</v>
      </c>
      <c r="AP1" s="31" t="s">
        <v>583</v>
      </c>
      <c r="AQ1" s="31" t="s">
        <v>584</v>
      </c>
      <c r="AR1" s="31" t="s">
        <v>585</v>
      </c>
      <c r="AS1" s="31" t="s">
        <v>586</v>
      </c>
      <c r="AT1" s="31" t="s">
        <v>587</v>
      </c>
      <c r="AU1" s="37" t="s">
        <v>588</v>
      </c>
      <c r="AV1" s="31" t="s">
        <v>589</v>
      </c>
      <c r="AW1" s="31" t="s">
        <v>590</v>
      </c>
      <c r="AX1" s="31" t="s">
        <v>591</v>
      </c>
      <c r="AY1" s="31" t="s">
        <v>54</v>
      </c>
    </row>
    <row r="2" s="20" customFormat="1" customHeight="1" spans="1:51">
      <c r="A2" s="22" t="s">
        <v>11</v>
      </c>
      <c r="B2" s="22" t="s">
        <v>411</v>
      </c>
      <c r="C2" s="21" t="s">
        <v>268</v>
      </c>
      <c r="D2" s="21" t="s">
        <v>412</v>
      </c>
      <c r="E2" s="21"/>
      <c r="F2" s="21"/>
      <c r="G2" s="23"/>
      <c r="H2" s="21"/>
      <c r="I2" s="21" t="s">
        <v>592</v>
      </c>
      <c r="K2" s="21"/>
      <c r="L2" s="22" t="e">
        <f>VLOOKUP(D2&amp;"*",花名册!B:Q,16,0)</f>
        <v>#N/A</v>
      </c>
      <c r="M2" s="23" t="e">
        <f>VLOOKUP(D2&amp;"*",花名册!B:N,13,0)</f>
        <v>#N/A</v>
      </c>
      <c r="N2" s="23"/>
      <c r="O2" s="24"/>
      <c r="P2" s="25"/>
      <c r="Q2" s="26"/>
      <c r="R2" s="26"/>
      <c r="S2" s="26"/>
      <c r="T2" s="26"/>
      <c r="U2" s="26"/>
      <c r="V2" s="26"/>
      <c r="W2" s="21"/>
      <c r="X2" s="27"/>
      <c r="Y2" s="28"/>
      <c r="Z2" s="21"/>
      <c r="AA2" s="21"/>
      <c r="AB2" s="29"/>
      <c r="AC2" s="29"/>
      <c r="AD2" s="23"/>
      <c r="AE2" s="23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30"/>
      <c r="AX2" s="30"/>
      <c r="AY2" s="30"/>
    </row>
  </sheetData>
  <conditionalFormatting sqref="M1">
    <cfRule type="expression" dxfId="5" priority="103">
      <formula>AND($I1="是",$M1="")</formula>
    </cfRule>
    <cfRule type="expression" dxfId="6" priority="6">
      <formula>$I1="否"</formula>
    </cfRule>
  </conditionalFormatting>
  <conditionalFormatting sqref="N1:P1">
    <cfRule type="expression" dxfId="5" priority="106">
      <formula>AND('报税-人员信息采集表'!#REF!="非正常",$I1="是",$N1="")</formula>
    </cfRule>
    <cfRule type="expression" dxfId="6" priority="105">
      <formula>AND('报税-人员信息采集表'!#REF!="正常",$I1="是")</formula>
    </cfRule>
    <cfRule type="expression" dxfId="6" priority="104">
      <formula>$I1="否"</formula>
    </cfRule>
  </conditionalFormatting>
  <conditionalFormatting sqref="T1">
    <cfRule type="expression" dxfId="5" priority="3">
      <formula>AND($Q1="是",$U1="")</formula>
    </cfRule>
  </conditionalFormatting>
  <conditionalFormatting sqref="V2:W2">
    <cfRule type="expression" dxfId="6" priority="101">
      <formula>$R$2="否"</formula>
    </cfRule>
  </conditionalFormatting>
  <conditionalFormatting sqref="AA2">
    <cfRule type="expression" dxfId="6" priority="81">
      <formula>$C$2="台湾居民来往大陆通行证"</formula>
    </cfRule>
    <cfRule type="expression" dxfId="6" priority="82">
      <formula>$C$2="港澳居民来往内地通行证"</formula>
    </cfRule>
    <cfRule type="expression" dxfId="6" priority="83">
      <formula>$C$2="居民身份证"</formula>
    </cfRule>
  </conditionalFormatting>
  <conditionalFormatting sqref="J2:J65455">
    <cfRule type="expression" dxfId="6" priority="1" stopIfTrue="1">
      <formula>I2&lt;&gt;"其他"</formula>
    </cfRule>
    <cfRule type="expression" dxfId="5" priority="2" stopIfTrue="1">
      <formula>I2="其他"</formula>
    </cfRule>
  </conditionalFormatting>
  <conditionalFormatting sqref="L1:L65455">
    <cfRule type="expression" dxfId="5" priority="102">
      <formula>AND($I1="雇员",$L1="")</formula>
    </cfRule>
  </conditionalFormatting>
  <conditionalFormatting sqref="M1:M65455">
    <cfRule type="expression" dxfId="5" priority="9">
      <formula>AND(M1="",AND(I1&lt;&gt;"其他",I1&lt;&gt;"平台内从业人员",I1&lt;&gt;""))</formula>
    </cfRule>
    <cfRule type="expression" dxfId="6" priority="10">
      <formula>OR(I1="其他",I1="平台内从业人员")</formula>
    </cfRule>
  </conditionalFormatting>
  <conditionalFormatting sqref="T2:T65455">
    <cfRule type="expression" dxfId="5" priority="4">
      <formula>AND($Q2="是",$U2="")</formula>
    </cfRule>
  </conditionalFormatting>
  <conditionalFormatting sqref="U1:U65455">
    <cfRule type="expression" dxfId="5" priority="11">
      <formula>AND($Q1="是",$U1="")</formula>
    </cfRule>
  </conditionalFormatting>
  <conditionalFormatting sqref="Y1:Y65455">
    <cfRule type="expression" dxfId="5" priority="7" stopIfTrue="1">
      <formula>AND($X1&gt;0,$Y1="")</formula>
    </cfRule>
  </conditionalFormatting>
  <conditionalFormatting sqref="AB1:AB65455">
    <cfRule type="expression" dxfId="5" priority="109" stopIfTrue="1">
      <formula>AND($C1&lt;&gt;"居民身份证",$C1&lt;&gt;"",$AB1="")</formula>
    </cfRule>
  </conditionalFormatting>
  <conditionalFormatting sqref="AC1:AC65455">
    <cfRule type="expression" dxfId="5" priority="5" stopIfTrue="1">
      <formula>AND($C1&lt;&gt;"居民身份证",$C1&lt;&gt;"",$AC1="")</formula>
    </cfRule>
  </conditionalFormatting>
  <conditionalFormatting sqref="AD1:AD65455">
    <cfRule type="expression" dxfId="5" priority="110">
      <formula>AND($I1="雇员",$C1&lt;&gt;"居民身份证",$C1&lt;&gt;"",$AD1="")</formula>
    </cfRule>
  </conditionalFormatting>
  <conditionalFormatting sqref="AE1:AE65455">
    <cfRule type="expression" dxfId="5" priority="111" stopIfTrue="1">
      <formula>AND($I1="雇员",$C1&lt;&gt;"居民身份证",$C1&lt;&gt;"",$AE1="")</formula>
    </cfRule>
  </conditionalFormatting>
  <conditionalFormatting sqref="AG1:AG65455">
    <cfRule type="expression" dxfId="5" priority="8">
      <formula>AND($AF1&lt;&gt;"",$AG1="")</formula>
    </cfRule>
  </conditionalFormatting>
  <conditionalFormatting sqref="E1:G65455">
    <cfRule type="expression" dxfId="6" priority="12">
      <formula>$C1="居民身份证"</formula>
    </cfRule>
  </conditionalFormatting>
  <conditionalFormatting sqref="N1:P1 N2:N65455">
    <cfRule type="expression" dxfId="6" priority="107">
      <formula>OR('报税-人员信息采集表'!#REF!="正常",$I1="其他",$I1="平台内从业人员")</formula>
    </cfRule>
    <cfRule type="expression" dxfId="5" priority="108">
      <formula>AND('报税-人员信息采集表'!#REF!="非正常",$I1&lt;&gt;"其他",$I1&lt;&gt;"",$N1="")</formula>
    </cfRule>
  </conditionalFormatting>
  <conditionalFormatting sqref="AD2:AE65455">
    <cfRule type="expression" dxfId="6" priority="112">
      <formula>OR(AND($I2&lt;&gt;"雇员",$I2&lt;&gt;""),$C2="居民身份证")</formula>
    </cfRule>
  </conditionalFormatting>
  <dataValidations count="32">
    <dataValidation allowBlank="1" showInputMessage="1" showErrorMessage="1" prompt="证件类型为外国护照时，录入证件上的英文姓名，其他证件录入中文姓名&#10;" sqref="B2:B65455"/>
    <dataValidation type="list" allowBlank="1" showInputMessage="1" showErrorMessage="1" sqref="C2:C65455">
      <formula1>证照类型</formula1>
    </dataValidation>
    <dataValidation type="custom" allowBlank="1" showInputMessage="1" showErrorMessage="1" error="您输入的居民身份证号不为18位" prompt="当证件类型为&quot;居民身份证&quot;，请输入18位居民身份证号" sqref="D2:D65455">
      <formula1>IF(C2="居民身份证",(LEN(D2)=18),LEN(D2)&gt;0)</formula1>
    </dataValidation>
    <dataValidation type="list" allowBlank="1" showInputMessage="1" showErrorMessage="1" prompt="证件类型为“居民身份证”时，允许为空。" sqref="E2:E65455">
      <formula1>国籍地区</formula1>
    </dataValidation>
    <dataValidation type="list" allowBlank="1" showInputMessage="1" showErrorMessage="1" prompt="证件类型为“居民身份证”时，允许为空。" sqref="F2:F65455">
      <formula1>"男,女"</formula1>
    </dataValidation>
    <dataValidation allowBlank="1" showInputMessage="1" showErrorMessage="1" prompt="证件类型为“居民身份证”时，允许为空。&#10;请严格按照如下格式填写：2015-02-12" sqref="G2:G65455"/>
    <dataValidation type="list" allowBlank="1" showInputMessage="1" showErrorMessage="1" sqref="H2:H65455">
      <formula1>"享受国家发放的政府特殊津贴的专家、学者,中国科学院、中国工程院院士,否"</formula1>
    </dataValidation>
    <dataValidation type="list" allowBlank="1" showInputMessage="1" showErrorMessage="1" sqref="I2:I65455">
      <formula1>"雇员,保险营销员,证券经纪人,实习学生（全日制学历教育）,平台内从业人员,其他"</formula1>
    </dataValidation>
    <dataValidation type="list" allowBlank="1" showInputMessage="1" showErrorMessage="1" prompt="任职受雇从业类型为“其他”时必须填写" sqref="J2:J65455">
      <formula1>"扣缴申报利息股息红利所得,扣缴申报偶然所得,申报其他所得"</formula1>
    </dataValidation>
    <dataValidation type="list" allowBlank="1" showInputMessage="1" showErrorMessage="1" prompt="任职受雇从业类型为“雇员”，且任职受雇从业日期大于等于2020年7月时可选择" sqref="K2:K65455">
      <formula1>INDIRECT(I2)</formula1>
    </dataValidation>
    <dataValidation allowBlank="1" showInputMessage="1" showErrorMessage="1" prompt="请输入纳税人的手机号码" sqref="L2:L65455"/>
    <dataValidation allowBlank="1" showInputMessage="1" showErrorMessage="1" prompt="当“任职受雇从业类型”为“雇员”、”保险营销员“、”证券经纪人“和“实习学生（全日制学历教育）”时必填写。&#10;请严格按照如下格式填写：2015-12-12。" sqref="M2:M65455"/>
    <dataValidation allowBlank="1" showInputMessage="1" showErrorMessage="1" prompt="请严格按照如下格式填写：2015-12-12" sqref="N2:N65455"/>
    <dataValidation type="list" allowBlank="1" showInputMessage="1" showErrorMessage="1" sqref="O2:O65455">
      <formula1>"否,是"</formula1>
    </dataValidation>
    <dataValidation allowBlank="1" showInputMessage="1" showErrorMessage="1" prompt="请严格按照如下格式填写：2015-12" sqref="P2:P65455"/>
    <dataValidation type="list" allowBlank="1" showInputMessage="1" showErrorMessage="1" prompt="若需要填写”残疾，烈属、孤老“情形及相关信息，请在该纳税人的人员信息编辑页面进行填写。" sqref="T2:T65455">
      <formula1>"残疾证,残疾军人证,伤残人民警察证,残疾消防救援人员证,伤残预备役人员、伤残民兵民工证,因公伤残人员证"</formula1>
    </dataValidation>
    <dataValidation allowBlank="1" showInputMessage="1" showErrorMessage="1" prompt="若需要填写”残疾、烈属、孤老“情形及相关信息，请在该纳税人的人员信息编辑页面进行填写。&#10;" sqref="U2:U65455"/>
    <dataValidation allowBlank="1" showInputMessage="1" showErrorMessage="1" prompt="若需要填写”残疾、烈属、孤老“情形及相关信息，请在该纳税人的人员信息编辑页面进行填写。" sqref="V2:V65455"/>
    <dataValidation type="list" allowBlank="1" showInputMessage="1" showErrorMessage="1" sqref="W2:W65455">
      <formula1>"是,否"</formula1>
    </dataValidation>
    <dataValidation allowBlank="1" showInputMessage="1" showErrorMessage="1" prompt="投资者的个人投资额和投资比例必须同时为空或同时大于0&#10;" sqref="X2:X65455"/>
    <dataValidation type="custom" allowBlank="1" showInputMessage="1" showErrorMessage="1" error="请确认个人投资额是否为空，若不为空则输入的值需要大于0且小于100" prompt="个人投资额不为空时，投资比例必须大于0小于等于100。" sqref="Y2:Y65455">
      <formula1>IF(LEN(X2)=0,LEN(Y2)=0,AND(Y2&gt;0,Y2&lt;=100))</formula1>
    </dataValidation>
    <dataValidation type="list" allowBlank="1" showInputMessage="1" showErrorMessage="1" prompt="证件类型不为“居民身份证”时必填" sqref="AB2:AB65455">
      <formula1>涉税事由</formula1>
    </dataValidation>
    <dataValidation type="list" allowBlank="1" showInputMessage="1" showErrorMessage="1" prompt="证件类型不为“居民身份证”时必填" sqref="AC2:AC65455">
      <formula1>国籍地区</formula1>
    </dataValidation>
    <dataValidation type="list" allowBlank="1" showInputMessage="1" showErrorMessage="1" sqref="AF2:AF65455">
      <formula1>INDIRECT(C2)</formula1>
    </dataValidation>
    <dataValidation allowBlank="1" showInputMessage="1" showErrorMessage="1" prompt="选择了其他证件类型时必填" sqref="AG2:AG65455"/>
    <dataValidation type="list" allowBlank="1" showInputMessage="1" showErrorMessage="1" sqref="AH2:AH65455 AL2:AL65455 AP2:AP65455 AX2:AX65455">
      <formula1>省份</formula1>
    </dataValidation>
    <dataValidation type="custom" allowBlank="1" showInputMessage="1" showErrorMessage="1" error="您输入的电子邮箱不正确" prompt="请输入正确的电子邮箱格式，如123@qq.com" sqref="AT2:AT65455">
      <formula1>COUNTIF(AT2,"?*@?*.?*")</formula1>
    </dataValidation>
    <dataValidation type="list" allowBlank="1" showInputMessage="1" showErrorMessage="1" sqref="AU2:AU65455">
      <formula1>"研究生,大学本科,大学本科以下"</formula1>
    </dataValidation>
    <dataValidation type="list" allowBlank="1" showInputMessage="1" showErrorMessage="1" sqref="AV2:AV65455">
      <formula1>开户银行</formula1>
    </dataValidation>
    <dataValidation type="list" allowBlank="1" showInputMessage="1" showErrorMessage="1" sqref="AY2:AY65455">
      <formula1>"普通,高层"</formula1>
    </dataValidation>
    <dataValidation type="list" allowBlank="1" showInputMessage="1" showErrorMessage="1" prompt="若需要填写”残疾、烈属、孤老“情形及相关信息，请在该纳税人的人员信息编辑页面进行填写。" sqref="Q2:S65455">
      <formula1>"是,否"</formula1>
    </dataValidation>
    <dataValidation allowBlank="1" showInputMessage="1" showErrorMessage="1" prompt="证件类型非”居民身份证“，且“任职受雇从业类型”为“雇员”时，必填。&#10;请严格按照如下格式填写：2015-12-12" sqref="AD2:AE65455"/>
  </dataValidations>
  <pageMargins left="0.75" right="0.75" top="1" bottom="1" header="0.5" footer="0.5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AF72"/>
  <sheetViews>
    <sheetView workbookViewId="0">
      <selection activeCell="A1" sqref="$A1:$XFD1"/>
    </sheetView>
  </sheetViews>
  <sheetFormatPr defaultColWidth="9" defaultRowHeight="22.5" customHeight="1"/>
  <cols>
    <col min="1" max="1" width="9" style="10"/>
    <col min="2" max="2" width="12.3362831858407" style="10" customWidth="1"/>
    <col min="3" max="3" width="24.9203539823009" style="2" customWidth="1"/>
    <col min="4" max="4" width="20.2477876106195" style="10" customWidth="1"/>
    <col min="5" max="5" width="12.6637168141593" style="11" customWidth="1"/>
    <col min="6" max="6" width="19" style="11" customWidth="1"/>
    <col min="7" max="7" width="16.1681415929204" style="11"/>
    <col min="8" max="8" width="14.6637168141593" style="11" customWidth="1"/>
    <col min="9" max="10" width="11.6637168141593" style="11" customWidth="1"/>
    <col min="11" max="11" width="18" style="11" hidden="1" customWidth="1"/>
    <col min="12" max="12" width="17.2477876106195" style="11" hidden="1" customWidth="1"/>
    <col min="13" max="13" width="18.3362831858407" style="11" hidden="1" customWidth="1"/>
    <col min="14" max="15" width="13.8318584070796" style="11" hidden="1" customWidth="1"/>
    <col min="16" max="16" width="17.3362831858407" style="11" hidden="1" customWidth="1"/>
    <col min="17" max="17" width="17.3362831858407" style="12" hidden="1" customWidth="1"/>
    <col min="18" max="18" width="17.8318584070796" style="11" hidden="1" customWidth="1"/>
    <col min="19" max="19" width="15.7522123893805" style="11" hidden="1" customWidth="1"/>
    <col min="20" max="24" width="15.5044247787611" style="11" hidden="1" customWidth="1"/>
    <col min="25" max="25" width="9.50442477876106" style="11" hidden="1" customWidth="1"/>
    <col min="26" max="26" width="17.8318584070796" style="11" hidden="1" customWidth="1"/>
    <col min="27" max="27" width="9.50442477876106" style="11" hidden="1" customWidth="1"/>
    <col min="28" max="28" width="14" style="10" hidden="1" customWidth="1"/>
    <col min="29" max="16384" width="9" style="13"/>
  </cols>
  <sheetData>
    <row r="1" s="9" customFormat="1" customHeight="1" spans="1:31">
      <c r="A1" s="4" t="s">
        <v>42</v>
      </c>
      <c r="B1" s="5" t="s">
        <v>545</v>
      </c>
      <c r="C1" s="5" t="s">
        <v>546</v>
      </c>
      <c r="D1" s="14" t="s">
        <v>547</v>
      </c>
      <c r="E1" s="15" t="s">
        <v>593</v>
      </c>
      <c r="F1" s="15" t="s">
        <v>594</v>
      </c>
      <c r="G1" s="15" t="s">
        <v>240</v>
      </c>
      <c r="H1" s="15" t="s">
        <v>241</v>
      </c>
      <c r="I1" s="15" t="s">
        <v>242</v>
      </c>
      <c r="J1" s="15" t="s">
        <v>243</v>
      </c>
      <c r="K1" s="15" t="s">
        <v>595</v>
      </c>
      <c r="L1" s="15" t="s">
        <v>596</v>
      </c>
      <c r="M1" s="15" t="s">
        <v>597</v>
      </c>
      <c r="N1" s="15" t="s">
        <v>598</v>
      </c>
      <c r="O1" s="15" t="s">
        <v>599</v>
      </c>
      <c r="P1" s="15" t="s">
        <v>600</v>
      </c>
      <c r="Q1" s="15" t="s">
        <v>228</v>
      </c>
      <c r="R1" s="15" t="s">
        <v>601</v>
      </c>
      <c r="S1" s="15" t="s">
        <v>245</v>
      </c>
      <c r="T1" s="15" t="s">
        <v>246</v>
      </c>
      <c r="U1" s="15" t="s">
        <v>249</v>
      </c>
      <c r="V1" s="15" t="s">
        <v>250</v>
      </c>
      <c r="W1" s="15" t="s">
        <v>251</v>
      </c>
      <c r="X1" s="15" t="s">
        <v>253</v>
      </c>
      <c r="Y1" s="15" t="s">
        <v>257</v>
      </c>
      <c r="Z1" s="15" t="s">
        <v>218</v>
      </c>
      <c r="AA1" s="15" t="s">
        <v>234</v>
      </c>
      <c r="AB1" s="4" t="s">
        <v>40</v>
      </c>
      <c r="AC1" s="16" t="s">
        <v>602</v>
      </c>
      <c r="AD1" s="16" t="s">
        <v>603</v>
      </c>
      <c r="AE1" s="16" t="s">
        <v>604</v>
      </c>
    </row>
    <row r="2" customHeight="1" spans="1:31">
      <c r="A2" s="13" t="s">
        <v>15</v>
      </c>
      <c r="B2" s="10" t="s">
        <v>267</v>
      </c>
      <c r="C2" s="2" t="s">
        <v>268</v>
      </c>
      <c r="D2" s="10" t="s">
        <v>269</v>
      </c>
      <c r="E2" s="11" t="e">
        <f>VLOOKUP(D2&amp;"*",工资表明细!D:BL,61,0)</f>
        <v>#N/A</v>
      </c>
      <c r="G2" s="11" t="e">
        <f>VLOOKUP(D2&amp;"*",工资表明细!D:AP,39,0)</f>
        <v>#N/A</v>
      </c>
      <c r="H2" s="11" t="e">
        <f>VLOOKUP(D2&amp;"*",工资表明细!D:AQ,40,0)</f>
        <v>#N/A</v>
      </c>
      <c r="I2" s="11" t="e">
        <f>VLOOKUP(D2&amp;"*",工资表明细!D:AR,41,0)</f>
        <v>#N/A</v>
      </c>
      <c r="J2" s="17" t="e">
        <f>VLOOKUP(D2&amp;"*",工资表明细!D:AT,43,0)</f>
        <v>#N/A</v>
      </c>
      <c r="AC2" s="18" t="e">
        <f>E2-G2-H2-I2-J2</f>
        <v>#N/A</v>
      </c>
      <c r="AD2" s="18" t="e">
        <f>VLOOKUP(B2,工资表明细!C:AX,48,0)+VLOOKUP(B2,工资表明细!C:AU,45,0)</f>
        <v>#N/A</v>
      </c>
      <c r="AE2" s="18" t="e">
        <f>AC2-AD2</f>
        <v>#N/A</v>
      </c>
    </row>
    <row r="3" customHeight="1" spans="1:31">
      <c r="A3" s="13" t="s">
        <v>11</v>
      </c>
      <c r="B3" s="10" t="s">
        <v>275</v>
      </c>
      <c r="C3" s="2" t="s">
        <v>268</v>
      </c>
      <c r="D3" s="10" t="s">
        <v>276</v>
      </c>
      <c r="E3" s="11" t="e">
        <f>VLOOKUP(D3&amp;"*",工资表明细!D:BL,61,0)</f>
        <v>#N/A</v>
      </c>
      <c r="G3" s="11" t="e">
        <f>VLOOKUP(D3&amp;"*",工资表明细!D:AP,39,0)</f>
        <v>#N/A</v>
      </c>
      <c r="H3" s="11" t="e">
        <f>VLOOKUP(D3&amp;"*",工资表明细!D:AQ,40,0)</f>
        <v>#N/A</v>
      </c>
      <c r="I3" s="11" t="e">
        <f>VLOOKUP(D3&amp;"*",工资表明细!D:AR,41,0)</f>
        <v>#N/A</v>
      </c>
      <c r="J3" s="17" t="e">
        <f>VLOOKUP(D3&amp;"*",工资表明细!D:AT,43,0)</f>
        <v>#N/A</v>
      </c>
      <c r="AC3" s="18" t="e">
        <f t="shared" ref="AC3:AC34" si="0">E3-G3-H3-I3-J3</f>
        <v>#N/A</v>
      </c>
      <c r="AD3" s="18" t="e">
        <f>VLOOKUP(B3,工资表明细!C:AX,48,0)+VLOOKUP(B3,工资表明细!C:AU,45,0)</f>
        <v>#N/A</v>
      </c>
      <c r="AE3" s="18" t="e">
        <f t="shared" ref="AE3:AE34" si="1">AC3-AD3</f>
        <v>#N/A</v>
      </c>
    </row>
    <row r="4" customHeight="1" spans="1:31">
      <c r="A4" s="13" t="s">
        <v>15</v>
      </c>
      <c r="B4" s="10" t="s">
        <v>277</v>
      </c>
      <c r="C4" s="2" t="s">
        <v>268</v>
      </c>
      <c r="D4" s="10" t="s">
        <v>278</v>
      </c>
      <c r="E4" s="11" t="e">
        <f>VLOOKUP(D4&amp;"*",工资表明细!D:BL,61,0)</f>
        <v>#N/A</v>
      </c>
      <c r="G4" s="11" t="e">
        <f>VLOOKUP(D4&amp;"*",工资表明细!D:AP,39,0)</f>
        <v>#N/A</v>
      </c>
      <c r="H4" s="11" t="e">
        <f>VLOOKUP(D4&amp;"*",工资表明细!D:AQ,40,0)</f>
        <v>#N/A</v>
      </c>
      <c r="I4" s="11" t="e">
        <f>VLOOKUP(D4&amp;"*",工资表明细!D:AR,41,0)</f>
        <v>#N/A</v>
      </c>
      <c r="J4" s="17" t="e">
        <f>VLOOKUP(D4&amp;"*",工资表明细!D:AT,43,0)</f>
        <v>#N/A</v>
      </c>
      <c r="AC4" s="18" t="e">
        <f t="shared" si="0"/>
        <v>#N/A</v>
      </c>
      <c r="AD4" s="18" t="e">
        <f>VLOOKUP(B4,工资表明细!C:AX,48,0)+VLOOKUP(B4,工资表明细!C:AU,45,0)</f>
        <v>#N/A</v>
      </c>
      <c r="AE4" s="18" t="e">
        <f t="shared" si="1"/>
        <v>#N/A</v>
      </c>
    </row>
    <row r="5" customHeight="1" spans="1:31">
      <c r="A5" s="13" t="s">
        <v>11</v>
      </c>
      <c r="B5" s="10" t="s">
        <v>279</v>
      </c>
      <c r="C5" s="2" t="s">
        <v>268</v>
      </c>
      <c r="D5" s="10" t="s">
        <v>280</v>
      </c>
      <c r="E5" s="11" t="e">
        <f>VLOOKUP(D5&amp;"*",工资表明细!D:BL,61,0)</f>
        <v>#N/A</v>
      </c>
      <c r="F5" s="11">
        <v>3935.01</v>
      </c>
      <c r="G5" s="11" t="e">
        <f>VLOOKUP(D5&amp;"*",工资表明细!D:AP,39,0)</f>
        <v>#N/A</v>
      </c>
      <c r="H5" s="11" t="e">
        <f>VLOOKUP(D5&amp;"*",工资表明细!D:AQ,40,0)</f>
        <v>#N/A</v>
      </c>
      <c r="I5" s="11" t="e">
        <f>VLOOKUP(D5&amp;"*",工资表明细!D:AR,41,0)</f>
        <v>#N/A</v>
      </c>
      <c r="J5" s="17" t="e">
        <f>VLOOKUP(D5&amp;"*",工资表明细!D:AT,43,0)</f>
        <v>#N/A</v>
      </c>
      <c r="AC5" s="18" t="e">
        <f t="shared" si="0"/>
        <v>#N/A</v>
      </c>
      <c r="AD5" s="18" t="e">
        <f>VLOOKUP(B5,工资表明细!C:AX,48,0)+VLOOKUP(B5,工资表明细!C:AU,45,0)</f>
        <v>#N/A</v>
      </c>
      <c r="AE5" s="18" t="e">
        <f t="shared" si="1"/>
        <v>#N/A</v>
      </c>
    </row>
    <row r="6" customHeight="1" spans="1:31">
      <c r="A6" s="13" t="s">
        <v>11</v>
      </c>
      <c r="B6" s="10" t="s">
        <v>281</v>
      </c>
      <c r="C6" s="2" t="s">
        <v>268</v>
      </c>
      <c r="D6" s="10" t="s">
        <v>282</v>
      </c>
      <c r="E6" s="11" t="e">
        <f>VLOOKUP(D6&amp;"*",工资表明细!D:BL,61,0)</f>
        <v>#N/A</v>
      </c>
      <c r="G6" s="11" t="e">
        <f>VLOOKUP(D6&amp;"*",工资表明细!D:AP,39,0)</f>
        <v>#N/A</v>
      </c>
      <c r="H6" s="11" t="e">
        <f>VLOOKUP(D6&amp;"*",工资表明细!D:AQ,40,0)</f>
        <v>#N/A</v>
      </c>
      <c r="I6" s="11" t="e">
        <f>VLOOKUP(D6&amp;"*",工资表明细!D:AR,41,0)</f>
        <v>#N/A</v>
      </c>
      <c r="J6" s="17" t="e">
        <f>VLOOKUP(D6&amp;"*",工资表明细!D:AT,43,0)</f>
        <v>#N/A</v>
      </c>
      <c r="AC6" s="18" t="e">
        <f t="shared" si="0"/>
        <v>#N/A</v>
      </c>
      <c r="AD6" s="18" t="e">
        <f>VLOOKUP(B6,工资表明细!C:AX,48,0)+VLOOKUP(B6,工资表明细!C:AU,45,0)</f>
        <v>#N/A</v>
      </c>
      <c r="AE6" s="18" t="e">
        <f t="shared" si="1"/>
        <v>#N/A</v>
      </c>
    </row>
    <row r="7" customHeight="1" spans="1:31">
      <c r="A7" s="13" t="s">
        <v>15</v>
      </c>
      <c r="B7" s="10" t="s">
        <v>283</v>
      </c>
      <c r="C7" s="2" t="s">
        <v>268</v>
      </c>
      <c r="D7" s="10" t="s">
        <v>284</v>
      </c>
      <c r="E7" s="11" t="e">
        <f>VLOOKUP(D7&amp;"*",工资表明细!D:BL,61,0)</f>
        <v>#N/A</v>
      </c>
      <c r="G7" s="11" t="e">
        <f>VLOOKUP(D7&amp;"*",工资表明细!D:AP,39,0)</f>
        <v>#N/A</v>
      </c>
      <c r="H7" s="11" t="e">
        <f>VLOOKUP(D7&amp;"*",工资表明细!D:AQ,40,0)</f>
        <v>#N/A</v>
      </c>
      <c r="I7" s="11" t="e">
        <f>VLOOKUP(D7&amp;"*",工资表明细!D:AR,41,0)</f>
        <v>#N/A</v>
      </c>
      <c r="J7" s="17" t="e">
        <f>VLOOKUP(D7&amp;"*",工资表明细!D:AT,43,0)</f>
        <v>#N/A</v>
      </c>
      <c r="AC7" s="18" t="e">
        <f t="shared" si="0"/>
        <v>#N/A</v>
      </c>
      <c r="AD7" s="18" t="e">
        <f>VLOOKUP(B7,工资表明细!C:AX,48,0)+VLOOKUP(B7,工资表明细!C:AU,45,0)</f>
        <v>#N/A</v>
      </c>
      <c r="AE7" s="18" t="e">
        <f t="shared" si="1"/>
        <v>#N/A</v>
      </c>
    </row>
    <row r="8" customHeight="1" spans="1:31">
      <c r="A8" s="13" t="s">
        <v>15</v>
      </c>
      <c r="B8" s="10" t="s">
        <v>285</v>
      </c>
      <c r="C8" s="2" t="s">
        <v>268</v>
      </c>
      <c r="D8" s="10" t="s">
        <v>286</v>
      </c>
      <c r="E8" s="11" t="e">
        <f>VLOOKUP(D8&amp;"*",工资表明细!D:BL,61,0)</f>
        <v>#N/A</v>
      </c>
      <c r="F8" s="11">
        <v>3763.53</v>
      </c>
      <c r="G8" s="11" t="e">
        <f>VLOOKUP(D8&amp;"*",工资表明细!D:AP,39,0)</f>
        <v>#N/A</v>
      </c>
      <c r="H8" s="11" t="e">
        <f>VLOOKUP(D8&amp;"*",工资表明细!D:AQ,40,0)</f>
        <v>#N/A</v>
      </c>
      <c r="I8" s="11" t="e">
        <f>VLOOKUP(D8&amp;"*",工资表明细!D:AR,41,0)</f>
        <v>#N/A</v>
      </c>
      <c r="J8" s="17" t="e">
        <f>VLOOKUP(D8&amp;"*",工资表明细!D:AT,43,0)</f>
        <v>#N/A</v>
      </c>
      <c r="AC8" s="18" t="e">
        <f t="shared" si="0"/>
        <v>#N/A</v>
      </c>
      <c r="AD8" s="18" t="e">
        <f>VLOOKUP(B8,工资表明细!C:AX,48,0)+VLOOKUP(B8,工资表明细!C:AU,45,0)</f>
        <v>#N/A</v>
      </c>
      <c r="AE8" s="18" t="e">
        <f t="shared" si="1"/>
        <v>#N/A</v>
      </c>
    </row>
    <row r="9" customHeight="1" spans="1:31">
      <c r="A9" s="13" t="s">
        <v>19</v>
      </c>
      <c r="B9" s="10" t="s">
        <v>287</v>
      </c>
      <c r="C9" s="2" t="s">
        <v>268</v>
      </c>
      <c r="D9" s="10" t="s">
        <v>288</v>
      </c>
      <c r="E9" s="11" t="e">
        <f>VLOOKUP(D9&amp;"*",工资表明细!D:BL,61,0)</f>
        <v>#N/A</v>
      </c>
      <c r="G9" s="11" t="e">
        <f>VLOOKUP(D9&amp;"*",工资表明细!D:AP,39,0)</f>
        <v>#N/A</v>
      </c>
      <c r="H9" s="11" t="e">
        <f>VLOOKUP(D9&amp;"*",工资表明细!D:AQ,40,0)</f>
        <v>#N/A</v>
      </c>
      <c r="I9" s="11" t="e">
        <f>VLOOKUP(D9&amp;"*",工资表明细!D:AR,41,0)</f>
        <v>#N/A</v>
      </c>
      <c r="J9" s="17" t="e">
        <f>VLOOKUP(D9&amp;"*",工资表明细!D:AT,43,0)</f>
        <v>#N/A</v>
      </c>
      <c r="AC9" s="18" t="e">
        <f t="shared" si="0"/>
        <v>#N/A</v>
      </c>
      <c r="AD9" s="18" t="e">
        <f>VLOOKUP(B9,工资表明细!C:AX,48,0)+VLOOKUP(B9,工资表明细!C:AU,45,0)</f>
        <v>#N/A</v>
      </c>
      <c r="AE9" s="18" t="e">
        <f t="shared" si="1"/>
        <v>#N/A</v>
      </c>
    </row>
    <row r="10" customHeight="1" spans="1:31">
      <c r="A10" s="13" t="s">
        <v>11</v>
      </c>
      <c r="B10" s="10" t="s">
        <v>289</v>
      </c>
      <c r="C10" s="2" t="s">
        <v>268</v>
      </c>
      <c r="D10" s="10" t="s">
        <v>290</v>
      </c>
      <c r="E10" s="11" t="e">
        <f>VLOOKUP(D10&amp;"*",工资表明细!D:BL,61,0)</f>
        <v>#N/A</v>
      </c>
      <c r="G10" s="11" t="e">
        <f>VLOOKUP(D10&amp;"*",工资表明细!D:AP,39,0)</f>
        <v>#N/A</v>
      </c>
      <c r="H10" s="11" t="e">
        <f>VLOOKUP(D10&amp;"*",工资表明细!D:AQ,40,0)</f>
        <v>#N/A</v>
      </c>
      <c r="I10" s="11" t="e">
        <f>VLOOKUP(D10&amp;"*",工资表明细!D:AR,41,0)</f>
        <v>#N/A</v>
      </c>
      <c r="J10" s="17" t="e">
        <f>VLOOKUP(D10&amp;"*",工资表明细!D:AT,43,0)</f>
        <v>#N/A</v>
      </c>
      <c r="AC10" s="18" t="e">
        <f t="shared" si="0"/>
        <v>#N/A</v>
      </c>
      <c r="AD10" s="18" t="e">
        <f>VLOOKUP(B10,工资表明细!C:AX,48,0)+VLOOKUP(B10,工资表明细!C:AU,45,0)</f>
        <v>#N/A</v>
      </c>
      <c r="AE10" s="18" t="e">
        <f t="shared" si="1"/>
        <v>#N/A</v>
      </c>
    </row>
    <row r="11" customHeight="1" spans="1:31">
      <c r="A11" s="13" t="s">
        <v>11</v>
      </c>
      <c r="B11" s="10" t="s">
        <v>291</v>
      </c>
      <c r="C11" s="2" t="s">
        <v>268</v>
      </c>
      <c r="D11" s="10" t="s">
        <v>292</v>
      </c>
      <c r="E11" s="11" t="e">
        <f>VLOOKUP(D11&amp;"*",工资表明细!D:BL,61,0)</f>
        <v>#N/A</v>
      </c>
      <c r="G11" s="11" t="e">
        <f>VLOOKUP(D11&amp;"*",工资表明细!D:AP,39,0)</f>
        <v>#N/A</v>
      </c>
      <c r="H11" s="11" t="e">
        <f>VLOOKUP(D11&amp;"*",工资表明细!D:AQ,40,0)</f>
        <v>#N/A</v>
      </c>
      <c r="I11" s="11" t="e">
        <f>VLOOKUP(D11&amp;"*",工资表明细!D:AR,41,0)</f>
        <v>#N/A</v>
      </c>
      <c r="J11" s="17" t="e">
        <f>VLOOKUP(D11&amp;"*",工资表明细!D:AT,43,0)</f>
        <v>#N/A</v>
      </c>
      <c r="AC11" s="18" t="e">
        <f t="shared" si="0"/>
        <v>#N/A</v>
      </c>
      <c r="AD11" s="18" t="e">
        <f>VLOOKUP(B11,工资表明细!C:AX,48,0)+VLOOKUP(B11,工资表明细!C:AU,45,0)</f>
        <v>#N/A</v>
      </c>
      <c r="AE11" s="18" t="e">
        <f t="shared" si="1"/>
        <v>#N/A</v>
      </c>
    </row>
    <row r="12" customHeight="1" spans="1:31">
      <c r="A12" s="13" t="s">
        <v>11</v>
      </c>
      <c r="B12" s="10" t="s">
        <v>293</v>
      </c>
      <c r="C12" s="2" t="s">
        <v>268</v>
      </c>
      <c r="D12" s="10" t="s">
        <v>294</v>
      </c>
      <c r="E12" s="11" t="e">
        <f>VLOOKUP(D12&amp;"*",工资表明细!D:BL,61,0)</f>
        <v>#N/A</v>
      </c>
      <c r="G12" s="11" t="e">
        <f>VLOOKUP(D12&amp;"*",工资表明细!D:AP,39,0)</f>
        <v>#N/A</v>
      </c>
      <c r="H12" s="11" t="e">
        <f>VLOOKUP(D12&amp;"*",工资表明细!D:AQ,40,0)</f>
        <v>#N/A</v>
      </c>
      <c r="I12" s="11" t="e">
        <f>VLOOKUP(D12&amp;"*",工资表明细!D:AR,41,0)</f>
        <v>#N/A</v>
      </c>
      <c r="J12" s="17" t="e">
        <f>VLOOKUP(D12&amp;"*",工资表明细!D:AT,43,0)</f>
        <v>#N/A</v>
      </c>
      <c r="AC12" s="18" t="e">
        <f t="shared" si="0"/>
        <v>#N/A</v>
      </c>
      <c r="AD12" s="18" t="e">
        <f>VLOOKUP(B12,工资表明细!C:AX,48,0)+VLOOKUP(B12,工资表明细!C:AU,45,0)</f>
        <v>#N/A</v>
      </c>
      <c r="AE12" s="18" t="e">
        <f t="shared" si="1"/>
        <v>#N/A</v>
      </c>
    </row>
    <row r="13" customHeight="1" spans="1:31">
      <c r="A13" s="13" t="s">
        <v>11</v>
      </c>
      <c r="B13" s="10" t="s">
        <v>295</v>
      </c>
      <c r="C13" s="2" t="s">
        <v>268</v>
      </c>
      <c r="D13" s="10" t="s">
        <v>296</v>
      </c>
      <c r="E13" s="11" t="e">
        <f>VLOOKUP(D13&amp;"*",工资表明细!D:BL,61,0)</f>
        <v>#N/A</v>
      </c>
      <c r="G13" s="11" t="e">
        <f>VLOOKUP(D13&amp;"*",工资表明细!D:AP,39,0)</f>
        <v>#N/A</v>
      </c>
      <c r="H13" s="11" t="e">
        <f>VLOOKUP(D13&amp;"*",工资表明细!D:AQ,40,0)</f>
        <v>#N/A</v>
      </c>
      <c r="I13" s="11" t="e">
        <f>VLOOKUP(D13&amp;"*",工资表明细!D:AR,41,0)</f>
        <v>#N/A</v>
      </c>
      <c r="J13" s="17" t="e">
        <f>VLOOKUP(D13&amp;"*",工资表明细!D:AT,43,0)</f>
        <v>#N/A</v>
      </c>
      <c r="AC13" s="18" t="e">
        <f t="shared" si="0"/>
        <v>#N/A</v>
      </c>
      <c r="AD13" s="18" t="e">
        <f>VLOOKUP(B13,工资表明细!C:AX,48,0)+VLOOKUP(B13,工资表明细!C:AU,45,0)</f>
        <v>#N/A</v>
      </c>
      <c r="AE13" s="18" t="e">
        <f t="shared" si="1"/>
        <v>#N/A</v>
      </c>
    </row>
    <row r="14" customHeight="1" spans="1:31">
      <c r="A14" s="13" t="s">
        <v>11</v>
      </c>
      <c r="B14" s="10" t="s">
        <v>297</v>
      </c>
      <c r="C14" s="2" t="s">
        <v>268</v>
      </c>
      <c r="D14" s="10" t="s">
        <v>298</v>
      </c>
      <c r="E14" s="11" t="e">
        <f>VLOOKUP(D14&amp;"*",工资表明细!D:BL,61,0)</f>
        <v>#N/A</v>
      </c>
      <c r="G14" s="11" t="e">
        <f>VLOOKUP(D14&amp;"*",工资表明细!D:AP,39,0)</f>
        <v>#N/A</v>
      </c>
      <c r="H14" s="11" t="e">
        <f>VLOOKUP(D14&amp;"*",工资表明细!D:AQ,40,0)</f>
        <v>#N/A</v>
      </c>
      <c r="I14" s="11" t="e">
        <f>VLOOKUP(D14&amp;"*",工资表明细!D:AR,41,0)</f>
        <v>#N/A</v>
      </c>
      <c r="J14" s="17" t="e">
        <f>VLOOKUP(D14&amp;"*",工资表明细!D:AT,43,0)</f>
        <v>#N/A</v>
      </c>
      <c r="AC14" s="18" t="e">
        <f t="shared" si="0"/>
        <v>#N/A</v>
      </c>
      <c r="AD14" s="18" t="e">
        <f>VLOOKUP(B14,工资表明细!C:AX,48,0)+VLOOKUP(B14,工资表明细!C:AU,45,0)</f>
        <v>#N/A</v>
      </c>
      <c r="AE14" s="18" t="e">
        <f t="shared" si="1"/>
        <v>#N/A</v>
      </c>
    </row>
    <row r="15" customHeight="1" spans="1:31">
      <c r="A15" s="13" t="s">
        <v>11</v>
      </c>
      <c r="B15" s="10" t="s">
        <v>299</v>
      </c>
      <c r="C15" s="2" t="s">
        <v>268</v>
      </c>
      <c r="D15" s="10" t="s">
        <v>300</v>
      </c>
      <c r="E15" s="11" t="e">
        <f>VLOOKUP(D15&amp;"*",工资表明细!D:BL,61,0)</f>
        <v>#N/A</v>
      </c>
      <c r="G15" s="11" t="e">
        <f>VLOOKUP(D15&amp;"*",工资表明细!D:AP,39,0)</f>
        <v>#N/A</v>
      </c>
      <c r="H15" s="11" t="e">
        <f>VLOOKUP(D15&amp;"*",工资表明细!D:AQ,40,0)</f>
        <v>#N/A</v>
      </c>
      <c r="I15" s="11" t="e">
        <f>VLOOKUP(D15&amp;"*",工资表明细!D:AR,41,0)</f>
        <v>#N/A</v>
      </c>
      <c r="J15" s="17" t="e">
        <f>VLOOKUP(D15&amp;"*",工资表明细!D:AT,43,0)</f>
        <v>#N/A</v>
      </c>
      <c r="AC15" s="18" t="e">
        <f t="shared" si="0"/>
        <v>#N/A</v>
      </c>
      <c r="AD15" s="18" t="e">
        <f>VLOOKUP(B15,工资表明细!C:AX,48,0)+VLOOKUP(B15,工资表明细!C:AU,45,0)</f>
        <v>#N/A</v>
      </c>
      <c r="AE15" s="18" t="e">
        <f t="shared" si="1"/>
        <v>#N/A</v>
      </c>
    </row>
    <row r="16" customHeight="1" spans="1:31">
      <c r="A16" s="13" t="s">
        <v>15</v>
      </c>
      <c r="B16" s="10" t="s">
        <v>301</v>
      </c>
      <c r="C16" s="2" t="s">
        <v>268</v>
      </c>
      <c r="D16" s="10" t="s">
        <v>302</v>
      </c>
      <c r="E16" s="11" t="e">
        <f>VLOOKUP(D16&amp;"*",工资表明细!D:BL,61,0)</f>
        <v>#N/A</v>
      </c>
      <c r="G16" s="11" t="e">
        <f>VLOOKUP(D16&amp;"*",工资表明细!D:AP,39,0)</f>
        <v>#N/A</v>
      </c>
      <c r="H16" s="11" t="e">
        <f>VLOOKUP(D16&amp;"*",工资表明细!D:AQ,40,0)</f>
        <v>#N/A</v>
      </c>
      <c r="I16" s="11" t="e">
        <f>VLOOKUP(D16&amp;"*",工资表明细!D:AR,41,0)</f>
        <v>#N/A</v>
      </c>
      <c r="J16" s="17" t="e">
        <f>VLOOKUP(D16&amp;"*",工资表明细!D:AT,43,0)</f>
        <v>#N/A</v>
      </c>
      <c r="AC16" s="18" t="e">
        <f t="shared" si="0"/>
        <v>#N/A</v>
      </c>
      <c r="AD16" s="18" t="e">
        <f>VLOOKUP(B16,工资表明细!C:AX,48,0)+VLOOKUP(B16,工资表明细!C:AU,45,0)</f>
        <v>#N/A</v>
      </c>
      <c r="AE16" s="18" t="e">
        <f t="shared" si="1"/>
        <v>#N/A</v>
      </c>
    </row>
    <row r="17" customHeight="1" spans="1:31">
      <c r="A17" s="13" t="s">
        <v>11</v>
      </c>
      <c r="B17" s="10" t="s">
        <v>303</v>
      </c>
      <c r="C17" s="2" t="s">
        <v>268</v>
      </c>
      <c r="D17" s="10" t="s">
        <v>304</v>
      </c>
      <c r="E17" s="11" t="e">
        <f>VLOOKUP(D17&amp;"*",工资表明细!D:BL,61,0)</f>
        <v>#N/A</v>
      </c>
      <c r="G17" s="11" t="e">
        <f>VLOOKUP(D17&amp;"*",工资表明细!D:AP,39,0)</f>
        <v>#N/A</v>
      </c>
      <c r="H17" s="11" t="e">
        <f>VLOOKUP(D17&amp;"*",工资表明细!D:AQ,40,0)</f>
        <v>#N/A</v>
      </c>
      <c r="I17" s="11" t="e">
        <f>VLOOKUP(D17&amp;"*",工资表明细!D:AR,41,0)</f>
        <v>#N/A</v>
      </c>
      <c r="J17" s="17" t="e">
        <f>VLOOKUP(D17&amp;"*",工资表明细!D:AT,43,0)</f>
        <v>#N/A</v>
      </c>
      <c r="AC17" s="18" t="e">
        <f t="shared" si="0"/>
        <v>#N/A</v>
      </c>
      <c r="AD17" s="18" t="e">
        <f>VLOOKUP(B17,工资表明细!C:AX,48,0)+VLOOKUP(B17,工资表明细!C:AU,45,0)</f>
        <v>#N/A</v>
      </c>
      <c r="AE17" s="18" t="e">
        <f t="shared" si="1"/>
        <v>#N/A</v>
      </c>
    </row>
    <row r="18" customHeight="1" spans="1:31">
      <c r="A18" s="13" t="s">
        <v>19</v>
      </c>
      <c r="B18" s="10" t="s">
        <v>305</v>
      </c>
      <c r="C18" s="2" t="s">
        <v>268</v>
      </c>
      <c r="D18" s="10" t="s">
        <v>306</v>
      </c>
      <c r="E18" s="11" t="e">
        <f>VLOOKUP(D18&amp;"*",工资表明细!D:BL,61,0)</f>
        <v>#N/A</v>
      </c>
      <c r="G18" s="11" t="e">
        <f>VLOOKUP(D18&amp;"*",工资表明细!D:AP,39,0)</f>
        <v>#N/A</v>
      </c>
      <c r="H18" s="11" t="e">
        <f>VLOOKUP(D18&amp;"*",工资表明细!D:AQ,40,0)</f>
        <v>#N/A</v>
      </c>
      <c r="I18" s="11" t="e">
        <f>VLOOKUP(D18&amp;"*",工资表明细!D:AR,41,0)</f>
        <v>#N/A</v>
      </c>
      <c r="J18" s="17" t="e">
        <f>VLOOKUP(D18&amp;"*",工资表明细!D:AT,43,0)</f>
        <v>#N/A</v>
      </c>
      <c r="AC18" s="18" t="e">
        <f t="shared" si="0"/>
        <v>#N/A</v>
      </c>
      <c r="AD18" s="18" t="e">
        <f>VLOOKUP(B18,工资表明细!C:AX,48,0)+VLOOKUP(B18,工资表明细!C:AU,45,0)</f>
        <v>#N/A</v>
      </c>
      <c r="AE18" s="18" t="e">
        <f t="shared" si="1"/>
        <v>#N/A</v>
      </c>
    </row>
    <row r="19" customHeight="1" spans="1:31">
      <c r="A19" s="13" t="s">
        <v>11</v>
      </c>
      <c r="B19" s="10" t="s">
        <v>307</v>
      </c>
      <c r="C19" s="2" t="s">
        <v>268</v>
      </c>
      <c r="D19" s="10" t="s">
        <v>308</v>
      </c>
      <c r="E19" s="11" t="e">
        <f>VLOOKUP(D19&amp;"*",工资表明细!D:BL,61,0)</f>
        <v>#N/A</v>
      </c>
      <c r="G19" s="11" t="e">
        <f>VLOOKUP(D19&amp;"*",工资表明细!D:AP,39,0)</f>
        <v>#N/A</v>
      </c>
      <c r="H19" s="11" t="e">
        <f>VLOOKUP(D19&amp;"*",工资表明细!D:AQ,40,0)</f>
        <v>#N/A</v>
      </c>
      <c r="I19" s="11" t="e">
        <f>VLOOKUP(D19&amp;"*",工资表明细!D:AR,41,0)</f>
        <v>#N/A</v>
      </c>
      <c r="J19" s="17" t="e">
        <f>VLOOKUP(D19&amp;"*",工资表明细!D:AT,43,0)</f>
        <v>#N/A</v>
      </c>
      <c r="AC19" s="18" t="e">
        <f t="shared" si="0"/>
        <v>#N/A</v>
      </c>
      <c r="AD19" s="18" t="e">
        <f>VLOOKUP(B19,工资表明细!C:AX,48,0)+VLOOKUP(B19,工资表明细!C:AU,45,0)</f>
        <v>#N/A</v>
      </c>
      <c r="AE19" s="18" t="e">
        <f t="shared" si="1"/>
        <v>#N/A</v>
      </c>
    </row>
    <row r="20" customHeight="1" spans="1:31">
      <c r="A20" s="13" t="s">
        <v>11</v>
      </c>
      <c r="B20" s="10" t="s">
        <v>309</v>
      </c>
      <c r="C20" s="2" t="s">
        <v>268</v>
      </c>
      <c r="D20" s="226" t="s">
        <v>310</v>
      </c>
      <c r="E20" s="11" t="e">
        <f>VLOOKUP(D20&amp;"*",工资表明细!D:BL,61,0)</f>
        <v>#N/A</v>
      </c>
      <c r="G20" s="11" t="e">
        <f>VLOOKUP(D20&amp;"*",工资表明细!D:AP,39,0)</f>
        <v>#N/A</v>
      </c>
      <c r="H20" s="11" t="e">
        <f>VLOOKUP(D20&amp;"*",工资表明细!D:AQ,40,0)</f>
        <v>#N/A</v>
      </c>
      <c r="I20" s="11" t="e">
        <f>VLOOKUP(D20&amp;"*",工资表明细!D:AR,41,0)</f>
        <v>#N/A</v>
      </c>
      <c r="J20" s="17" t="e">
        <f>VLOOKUP(D20&amp;"*",工资表明细!D:AT,43,0)</f>
        <v>#N/A</v>
      </c>
      <c r="AC20" s="18" t="e">
        <f t="shared" si="0"/>
        <v>#N/A</v>
      </c>
      <c r="AD20" s="18" t="e">
        <f>VLOOKUP(B20,工资表明细!C:AX,48,0)+VLOOKUP(B20,工资表明细!C:AU,45,0)</f>
        <v>#N/A</v>
      </c>
      <c r="AE20" s="18" t="e">
        <f t="shared" si="1"/>
        <v>#N/A</v>
      </c>
    </row>
    <row r="21" customHeight="1" spans="1:31">
      <c r="A21" s="13" t="s">
        <v>11</v>
      </c>
      <c r="B21" s="10" t="s">
        <v>311</v>
      </c>
      <c r="C21" s="2" t="s">
        <v>268</v>
      </c>
      <c r="D21" s="226" t="s">
        <v>312</v>
      </c>
      <c r="E21" s="11" t="e">
        <f>VLOOKUP(D21&amp;"*",工资表明细!D:BL,61,0)</f>
        <v>#N/A</v>
      </c>
      <c r="G21" s="11" t="e">
        <f>VLOOKUP(D21&amp;"*",工资表明细!D:AP,39,0)</f>
        <v>#N/A</v>
      </c>
      <c r="H21" s="11" t="e">
        <f>VLOOKUP(D21&amp;"*",工资表明细!D:AQ,40,0)</f>
        <v>#N/A</v>
      </c>
      <c r="I21" s="11" t="e">
        <f>VLOOKUP(D21&amp;"*",工资表明细!D:AR,41,0)</f>
        <v>#N/A</v>
      </c>
      <c r="J21" s="17" t="e">
        <f>VLOOKUP(D21&amp;"*",工资表明细!D:AT,43,0)</f>
        <v>#N/A</v>
      </c>
      <c r="AC21" s="18" t="e">
        <f t="shared" si="0"/>
        <v>#N/A</v>
      </c>
      <c r="AD21" s="18" t="e">
        <f>VLOOKUP(B21,工资表明细!C:AX,48,0)+VLOOKUP(B21,工资表明细!C:AU,45,0)</f>
        <v>#N/A</v>
      </c>
      <c r="AE21" s="18" t="e">
        <f t="shared" si="1"/>
        <v>#N/A</v>
      </c>
    </row>
    <row r="22" customHeight="1" spans="1:31">
      <c r="A22" s="13" t="s">
        <v>11</v>
      </c>
      <c r="B22" s="10" t="s">
        <v>313</v>
      </c>
      <c r="C22" s="2" t="s">
        <v>268</v>
      </c>
      <c r="D22" s="10" t="s">
        <v>314</v>
      </c>
      <c r="E22" s="11" t="e">
        <f>VLOOKUP(D22&amp;"*",工资表明细!D:BL,61,0)</f>
        <v>#N/A</v>
      </c>
      <c r="G22" s="11" t="e">
        <f>VLOOKUP(D22&amp;"*",工资表明细!D:AP,39,0)</f>
        <v>#N/A</v>
      </c>
      <c r="H22" s="11" t="e">
        <f>VLOOKUP(D22&amp;"*",工资表明细!D:AQ,40,0)</f>
        <v>#N/A</v>
      </c>
      <c r="I22" s="11" t="e">
        <f>VLOOKUP(D22&amp;"*",工资表明细!D:AR,41,0)</f>
        <v>#N/A</v>
      </c>
      <c r="J22" s="17" t="e">
        <f>VLOOKUP(D22&amp;"*",工资表明细!D:AT,43,0)</f>
        <v>#N/A</v>
      </c>
      <c r="AC22" s="18" t="e">
        <f t="shared" si="0"/>
        <v>#N/A</v>
      </c>
      <c r="AD22" s="18" t="e">
        <f>VLOOKUP(B22,工资表明细!C:AX,48,0)+VLOOKUP(B22,工资表明细!C:AU,45,0)</f>
        <v>#N/A</v>
      </c>
      <c r="AE22" s="18" t="e">
        <f t="shared" si="1"/>
        <v>#N/A</v>
      </c>
    </row>
    <row r="23" customHeight="1" spans="1:31">
      <c r="A23" s="13" t="s">
        <v>11</v>
      </c>
      <c r="B23" s="10" t="s">
        <v>315</v>
      </c>
      <c r="C23" s="2" t="s">
        <v>268</v>
      </c>
      <c r="D23" s="10" t="s">
        <v>316</v>
      </c>
      <c r="E23" s="11" t="e">
        <f>VLOOKUP(D23&amp;"*",工资表明细!D:BL,61,0)</f>
        <v>#N/A</v>
      </c>
      <c r="G23" s="11" t="e">
        <f>VLOOKUP(D23&amp;"*",工资表明细!D:AP,39,0)</f>
        <v>#N/A</v>
      </c>
      <c r="H23" s="11" t="e">
        <f>VLOOKUP(D23&amp;"*",工资表明细!D:AQ,40,0)</f>
        <v>#N/A</v>
      </c>
      <c r="I23" s="11" t="e">
        <f>VLOOKUP(D23&amp;"*",工资表明细!D:AR,41,0)</f>
        <v>#N/A</v>
      </c>
      <c r="J23" s="17" t="e">
        <f>VLOOKUP(D23&amp;"*",工资表明细!D:AT,43,0)</f>
        <v>#N/A</v>
      </c>
      <c r="AC23" s="18" t="e">
        <f t="shared" si="0"/>
        <v>#N/A</v>
      </c>
      <c r="AD23" s="18" t="e">
        <f>VLOOKUP(B23,工资表明细!C:AX,48,0)+VLOOKUP(B23,工资表明细!C:AU,45,0)</f>
        <v>#N/A</v>
      </c>
      <c r="AE23" s="18" t="e">
        <f t="shared" si="1"/>
        <v>#N/A</v>
      </c>
    </row>
    <row r="24" customHeight="1" spans="1:31">
      <c r="A24" s="13" t="s">
        <v>11</v>
      </c>
      <c r="B24" s="10" t="s">
        <v>317</v>
      </c>
      <c r="C24" s="2" t="s">
        <v>268</v>
      </c>
      <c r="D24" s="10" t="s">
        <v>318</v>
      </c>
      <c r="E24" s="11" t="e">
        <f>VLOOKUP(D24&amp;"*",工资表明细!D:BL,61,0)</f>
        <v>#N/A</v>
      </c>
      <c r="G24" s="11" t="e">
        <f>VLOOKUP(D24&amp;"*",工资表明细!D:AP,39,0)</f>
        <v>#N/A</v>
      </c>
      <c r="H24" s="11" t="e">
        <f>VLOOKUP(D24&amp;"*",工资表明细!D:AQ,40,0)</f>
        <v>#N/A</v>
      </c>
      <c r="I24" s="11" t="e">
        <f>VLOOKUP(D24&amp;"*",工资表明细!D:AR,41,0)</f>
        <v>#N/A</v>
      </c>
      <c r="J24" s="17" t="e">
        <f>VLOOKUP(D24&amp;"*",工资表明细!D:AT,43,0)</f>
        <v>#N/A</v>
      </c>
      <c r="AC24" s="18" t="e">
        <f t="shared" si="0"/>
        <v>#N/A</v>
      </c>
      <c r="AD24" s="18" t="e">
        <f>VLOOKUP(B24,工资表明细!C:AX,48,0)+VLOOKUP(B24,工资表明细!C:AU,45,0)</f>
        <v>#N/A</v>
      </c>
      <c r="AE24" s="18" t="e">
        <f t="shared" si="1"/>
        <v>#N/A</v>
      </c>
    </row>
    <row r="25" customHeight="1" spans="1:31">
      <c r="A25" s="13" t="s">
        <v>15</v>
      </c>
      <c r="B25" s="10" t="s">
        <v>319</v>
      </c>
      <c r="C25" s="2" t="s">
        <v>268</v>
      </c>
      <c r="D25" s="10" t="s">
        <v>320</v>
      </c>
      <c r="E25" s="11" t="e">
        <f>VLOOKUP(D25&amp;"*",工资表明细!D:BL,61,0)</f>
        <v>#N/A</v>
      </c>
      <c r="G25" s="11" t="e">
        <f>VLOOKUP(D25&amp;"*",工资表明细!D:AP,39,0)</f>
        <v>#N/A</v>
      </c>
      <c r="H25" s="11" t="e">
        <f>VLOOKUP(D25&amp;"*",工资表明细!D:AQ,40,0)</f>
        <v>#N/A</v>
      </c>
      <c r="I25" s="11" t="e">
        <f>VLOOKUP(D25&amp;"*",工资表明细!D:AR,41,0)</f>
        <v>#N/A</v>
      </c>
      <c r="J25" s="17" t="e">
        <f>VLOOKUP(D25&amp;"*",工资表明细!D:AT,43,0)</f>
        <v>#N/A</v>
      </c>
      <c r="AC25" s="18" t="e">
        <f t="shared" si="0"/>
        <v>#N/A</v>
      </c>
      <c r="AD25" s="18" t="e">
        <f>VLOOKUP(B25,工资表明细!C:AX,48,0)+VLOOKUP(B25,工资表明细!C:AU,45,0)</f>
        <v>#N/A</v>
      </c>
      <c r="AE25" s="18" t="e">
        <f t="shared" si="1"/>
        <v>#N/A</v>
      </c>
    </row>
    <row r="26" customHeight="1" spans="1:31">
      <c r="A26" s="13" t="s">
        <v>11</v>
      </c>
      <c r="B26" s="10" t="s">
        <v>321</v>
      </c>
      <c r="C26" s="2" t="s">
        <v>268</v>
      </c>
      <c r="D26" s="10" t="s">
        <v>322</v>
      </c>
      <c r="E26" s="11" t="e">
        <f>VLOOKUP(D26&amp;"*",工资表明细!D:BL,61,0)</f>
        <v>#N/A</v>
      </c>
      <c r="F26" s="11">
        <v>3695.01</v>
      </c>
      <c r="G26" s="11" t="e">
        <f>VLOOKUP(D26&amp;"*",工资表明细!D:AP,39,0)</f>
        <v>#N/A</v>
      </c>
      <c r="H26" s="11" t="e">
        <f>VLOOKUP(D26&amp;"*",工资表明细!D:AQ,40,0)</f>
        <v>#N/A</v>
      </c>
      <c r="I26" s="11" t="e">
        <f>VLOOKUP(D26&amp;"*",工资表明细!D:AR,41,0)</f>
        <v>#N/A</v>
      </c>
      <c r="J26" s="17" t="e">
        <f>VLOOKUP(D26&amp;"*",工资表明细!D:AT,43,0)</f>
        <v>#N/A</v>
      </c>
      <c r="AC26" s="18" t="e">
        <f t="shared" si="0"/>
        <v>#N/A</v>
      </c>
      <c r="AD26" s="18" t="e">
        <f>VLOOKUP(B26,工资表明细!C:AX,48,0)+VLOOKUP(B26,工资表明细!C:AU,45,0)</f>
        <v>#N/A</v>
      </c>
      <c r="AE26" s="18" t="e">
        <f t="shared" si="1"/>
        <v>#N/A</v>
      </c>
    </row>
    <row r="27" customHeight="1" spans="1:31">
      <c r="A27" s="13" t="s">
        <v>11</v>
      </c>
      <c r="B27" s="10" t="s">
        <v>323</v>
      </c>
      <c r="C27" s="2" t="s">
        <v>268</v>
      </c>
      <c r="D27" s="10" t="s">
        <v>324</v>
      </c>
      <c r="E27" s="11" t="e">
        <f>VLOOKUP(D27&amp;"*",工资表明细!D:BL,61,0)</f>
        <v>#N/A</v>
      </c>
      <c r="G27" s="11" t="e">
        <f>VLOOKUP(D27&amp;"*",工资表明细!D:AP,39,0)</f>
        <v>#N/A</v>
      </c>
      <c r="H27" s="11" t="e">
        <f>VLOOKUP(D27&amp;"*",工资表明细!D:AQ,40,0)</f>
        <v>#N/A</v>
      </c>
      <c r="I27" s="11" t="e">
        <f>VLOOKUP(D27&amp;"*",工资表明细!D:AR,41,0)</f>
        <v>#N/A</v>
      </c>
      <c r="J27" s="17" t="e">
        <f>VLOOKUP(D27&amp;"*",工资表明细!D:AT,43,0)</f>
        <v>#N/A</v>
      </c>
      <c r="AC27" s="18" t="e">
        <f t="shared" si="0"/>
        <v>#N/A</v>
      </c>
      <c r="AD27" s="18" t="e">
        <f>VLOOKUP(B27,工资表明细!C:AX,48,0)+VLOOKUP(B27,工资表明细!C:AU,45,0)</f>
        <v>#N/A</v>
      </c>
      <c r="AE27" s="18" t="e">
        <f t="shared" si="1"/>
        <v>#N/A</v>
      </c>
    </row>
    <row r="28" customHeight="1" spans="1:31">
      <c r="A28" s="13" t="s">
        <v>11</v>
      </c>
      <c r="B28" s="10" t="s">
        <v>325</v>
      </c>
      <c r="C28" s="2" t="s">
        <v>268</v>
      </c>
      <c r="D28" s="10" t="s">
        <v>326</v>
      </c>
      <c r="E28" s="11" t="e">
        <f>VLOOKUP(D28&amp;"*",工资表明细!D:BL,61,0)</f>
        <v>#N/A</v>
      </c>
      <c r="G28" s="11" t="e">
        <f>VLOOKUP(D28&amp;"*",工资表明细!D:AP,39,0)</f>
        <v>#N/A</v>
      </c>
      <c r="H28" s="11" t="e">
        <f>VLOOKUP(D28&amp;"*",工资表明细!D:AQ,40,0)</f>
        <v>#N/A</v>
      </c>
      <c r="I28" s="11" t="e">
        <f>VLOOKUP(D28&amp;"*",工资表明细!D:AR,41,0)</f>
        <v>#N/A</v>
      </c>
      <c r="J28" s="17" t="e">
        <f>VLOOKUP(D28&amp;"*",工资表明细!D:AT,43,0)</f>
        <v>#N/A</v>
      </c>
      <c r="AC28" s="18" t="e">
        <f t="shared" si="0"/>
        <v>#N/A</v>
      </c>
      <c r="AD28" s="18" t="e">
        <f>VLOOKUP(B28,工资表明细!C:AX,48,0)+VLOOKUP(B28,工资表明细!C:AU,45,0)</f>
        <v>#N/A</v>
      </c>
      <c r="AE28" s="18" t="e">
        <f t="shared" si="1"/>
        <v>#N/A</v>
      </c>
    </row>
    <row r="29" customHeight="1" spans="1:31">
      <c r="A29" s="13" t="s">
        <v>11</v>
      </c>
      <c r="B29" s="10" t="s">
        <v>327</v>
      </c>
      <c r="C29" s="2" t="s">
        <v>268</v>
      </c>
      <c r="D29" s="10" t="s">
        <v>328</v>
      </c>
      <c r="E29" s="11" t="e">
        <f>VLOOKUP(D29&amp;"*",工资表明细!D:BL,61,0)</f>
        <v>#N/A</v>
      </c>
      <c r="G29" s="11" t="e">
        <f>VLOOKUP(D29&amp;"*",工资表明细!D:AP,39,0)</f>
        <v>#N/A</v>
      </c>
      <c r="H29" s="11" t="e">
        <f>VLOOKUP(D29&amp;"*",工资表明细!D:AQ,40,0)</f>
        <v>#N/A</v>
      </c>
      <c r="I29" s="11" t="e">
        <f>VLOOKUP(D29&amp;"*",工资表明细!D:AR,41,0)</f>
        <v>#N/A</v>
      </c>
      <c r="J29" s="17" t="e">
        <f>VLOOKUP(D29&amp;"*",工资表明细!D:AT,43,0)</f>
        <v>#N/A</v>
      </c>
      <c r="AC29" s="18" t="e">
        <f t="shared" si="0"/>
        <v>#N/A</v>
      </c>
      <c r="AD29" s="18" t="e">
        <f>VLOOKUP(B29,工资表明细!C:AX,48,0)+VLOOKUP(B29,工资表明细!C:AU,45,0)</f>
        <v>#N/A</v>
      </c>
      <c r="AE29" s="18" t="e">
        <f t="shared" si="1"/>
        <v>#N/A</v>
      </c>
    </row>
    <row r="30" customHeight="1" spans="1:31">
      <c r="A30" s="13" t="s">
        <v>11</v>
      </c>
      <c r="B30" s="10" t="s">
        <v>329</v>
      </c>
      <c r="C30" s="2" t="s">
        <v>268</v>
      </c>
      <c r="D30" s="10" t="s">
        <v>330</v>
      </c>
      <c r="E30" s="11" t="e">
        <f>VLOOKUP(D30&amp;"*",工资表明细!D:BL,61,0)</f>
        <v>#N/A</v>
      </c>
      <c r="G30" s="11" t="e">
        <f>VLOOKUP(D30&amp;"*",工资表明细!D:AP,39,0)</f>
        <v>#N/A</v>
      </c>
      <c r="H30" s="11" t="e">
        <f>VLOOKUP(D30&amp;"*",工资表明细!D:AQ,40,0)</f>
        <v>#N/A</v>
      </c>
      <c r="I30" s="11" t="e">
        <f>VLOOKUP(D30&amp;"*",工资表明细!D:AR,41,0)</f>
        <v>#N/A</v>
      </c>
      <c r="J30" s="17" t="e">
        <f>VLOOKUP(D30&amp;"*",工资表明细!D:AT,43,0)</f>
        <v>#N/A</v>
      </c>
      <c r="AC30" s="18" t="e">
        <f t="shared" si="0"/>
        <v>#N/A</v>
      </c>
      <c r="AD30" s="18" t="e">
        <f>VLOOKUP(B30,工资表明细!C:AX,48,0)+VLOOKUP(B30,工资表明细!C:AU,45,0)</f>
        <v>#N/A</v>
      </c>
      <c r="AE30" s="18" t="e">
        <f t="shared" si="1"/>
        <v>#N/A</v>
      </c>
    </row>
    <row r="31" customHeight="1" spans="1:31">
      <c r="A31" s="13" t="s">
        <v>11</v>
      </c>
      <c r="B31" s="10" t="s">
        <v>331</v>
      </c>
      <c r="C31" s="2" t="s">
        <v>268</v>
      </c>
      <c r="D31" s="10" t="s">
        <v>332</v>
      </c>
      <c r="E31" s="11" t="e">
        <f>VLOOKUP(D31&amp;"*",工资表明细!D:BL,61,0)</f>
        <v>#N/A</v>
      </c>
      <c r="G31" s="11" t="e">
        <f>VLOOKUP(D31&amp;"*",工资表明细!D:AP,39,0)</f>
        <v>#N/A</v>
      </c>
      <c r="H31" s="11" t="e">
        <f>VLOOKUP(D31&amp;"*",工资表明细!D:AQ,40,0)</f>
        <v>#N/A</v>
      </c>
      <c r="I31" s="11" t="e">
        <f>VLOOKUP(D31&amp;"*",工资表明细!D:AR,41,0)</f>
        <v>#N/A</v>
      </c>
      <c r="J31" s="17" t="e">
        <f>VLOOKUP(D31&amp;"*",工资表明细!D:AT,43,0)</f>
        <v>#N/A</v>
      </c>
      <c r="AC31" s="18" t="e">
        <f t="shared" si="0"/>
        <v>#N/A</v>
      </c>
      <c r="AD31" s="18" t="e">
        <f>VLOOKUP(B31,工资表明细!C:AX,48,0)+VLOOKUP(B31,工资表明细!C:AU,45,0)</f>
        <v>#N/A</v>
      </c>
      <c r="AE31" s="18" t="e">
        <f t="shared" si="1"/>
        <v>#N/A</v>
      </c>
    </row>
    <row r="32" customHeight="1" spans="1:31">
      <c r="A32" s="13" t="s">
        <v>11</v>
      </c>
      <c r="B32" s="10" t="s">
        <v>333</v>
      </c>
      <c r="C32" s="2" t="s">
        <v>268</v>
      </c>
      <c r="D32" s="10" t="s">
        <v>334</v>
      </c>
      <c r="E32" s="11" t="e">
        <f>VLOOKUP(D32&amp;"*",工资表明细!D:BL,61,0)</f>
        <v>#N/A</v>
      </c>
      <c r="G32" s="11" t="e">
        <f>VLOOKUP(D32&amp;"*",工资表明细!D:AP,39,0)</f>
        <v>#N/A</v>
      </c>
      <c r="H32" s="11" t="e">
        <f>VLOOKUP(D32&amp;"*",工资表明细!D:AQ,40,0)</f>
        <v>#N/A</v>
      </c>
      <c r="I32" s="11" t="e">
        <f>VLOOKUP(D32&amp;"*",工资表明细!D:AR,41,0)</f>
        <v>#N/A</v>
      </c>
      <c r="J32" s="17" t="e">
        <f>VLOOKUP(D32&amp;"*",工资表明细!D:AT,43,0)</f>
        <v>#N/A</v>
      </c>
      <c r="AC32" s="18" t="e">
        <f t="shared" si="0"/>
        <v>#N/A</v>
      </c>
      <c r="AD32" s="18" t="e">
        <f>VLOOKUP(B32,工资表明细!C:AX,48,0)+VLOOKUP(B32,工资表明细!C:AU,45,0)</f>
        <v>#N/A</v>
      </c>
      <c r="AE32" s="18" t="e">
        <f t="shared" si="1"/>
        <v>#N/A</v>
      </c>
    </row>
    <row r="33" customHeight="1" spans="1:31">
      <c r="A33" s="13" t="s">
        <v>11</v>
      </c>
      <c r="B33" s="10" t="s">
        <v>335</v>
      </c>
      <c r="C33" s="2" t="s">
        <v>268</v>
      </c>
      <c r="D33" s="10" t="s">
        <v>336</v>
      </c>
      <c r="E33" s="11" t="e">
        <f>VLOOKUP(D33&amp;"*",工资表明细!D:BL,61,0)</f>
        <v>#N/A</v>
      </c>
      <c r="G33" s="11" t="e">
        <f>VLOOKUP(D33&amp;"*",工资表明细!D:AP,39,0)</f>
        <v>#N/A</v>
      </c>
      <c r="H33" s="11" t="e">
        <f>VLOOKUP(D33&amp;"*",工资表明细!D:AQ,40,0)</f>
        <v>#N/A</v>
      </c>
      <c r="I33" s="11" t="e">
        <f>VLOOKUP(D33&amp;"*",工资表明细!D:AR,41,0)</f>
        <v>#N/A</v>
      </c>
      <c r="J33" s="17" t="e">
        <f>VLOOKUP(D33&amp;"*",工资表明细!D:AT,43,0)</f>
        <v>#N/A</v>
      </c>
      <c r="AC33" s="18" t="e">
        <f t="shared" si="0"/>
        <v>#N/A</v>
      </c>
      <c r="AD33" s="18" t="e">
        <f>VLOOKUP(B33,工资表明细!C:AX,48,0)+VLOOKUP(B33,工资表明细!C:AU,45,0)</f>
        <v>#N/A</v>
      </c>
      <c r="AE33" s="18" t="e">
        <f t="shared" si="1"/>
        <v>#N/A</v>
      </c>
    </row>
    <row r="34" customHeight="1" spans="1:31">
      <c r="A34" s="13" t="s">
        <v>15</v>
      </c>
      <c r="B34" s="10" t="s">
        <v>337</v>
      </c>
      <c r="C34" s="2" t="s">
        <v>268</v>
      </c>
      <c r="D34" s="10" t="s">
        <v>338</v>
      </c>
      <c r="E34" s="11" t="e">
        <f>VLOOKUP(D34&amp;"*",工资表明细!D:BL,61,0)</f>
        <v>#N/A</v>
      </c>
      <c r="G34" s="11" t="e">
        <f>VLOOKUP(D34&amp;"*",工资表明细!D:AP,39,0)</f>
        <v>#N/A</v>
      </c>
      <c r="H34" s="11" t="e">
        <f>VLOOKUP(D34&amp;"*",工资表明细!D:AQ,40,0)</f>
        <v>#N/A</v>
      </c>
      <c r="I34" s="11" t="e">
        <f>VLOOKUP(D34&amp;"*",工资表明细!D:AR,41,0)</f>
        <v>#N/A</v>
      </c>
      <c r="J34" s="17" t="e">
        <f>VLOOKUP(D34&amp;"*",工资表明细!D:AT,43,0)</f>
        <v>#N/A</v>
      </c>
      <c r="AC34" s="18" t="e">
        <f t="shared" si="0"/>
        <v>#N/A</v>
      </c>
      <c r="AD34" s="18" t="e">
        <f>VLOOKUP(B34,工资表明细!C:AX,48,0)+VLOOKUP(B34,工资表明细!C:AU,45,0)</f>
        <v>#N/A</v>
      </c>
      <c r="AE34" s="18" t="e">
        <f t="shared" si="1"/>
        <v>#N/A</v>
      </c>
    </row>
    <row r="35" customHeight="1" spans="1:31">
      <c r="A35" s="13" t="s">
        <v>11</v>
      </c>
      <c r="B35" s="10" t="s">
        <v>339</v>
      </c>
      <c r="C35" s="2" t="s">
        <v>268</v>
      </c>
      <c r="D35" s="10" t="s">
        <v>340</v>
      </c>
      <c r="E35" s="11" t="e">
        <f>VLOOKUP(D35&amp;"*",工资表明细!D:BL,61,0)</f>
        <v>#N/A</v>
      </c>
      <c r="G35" s="11" t="e">
        <f>VLOOKUP(D35&amp;"*",工资表明细!D:AP,39,0)</f>
        <v>#N/A</v>
      </c>
      <c r="H35" s="11" t="e">
        <f>VLOOKUP(D35&amp;"*",工资表明细!D:AQ,40,0)</f>
        <v>#N/A</v>
      </c>
      <c r="I35" s="11" t="e">
        <f>VLOOKUP(D35&amp;"*",工资表明细!D:AR,41,0)</f>
        <v>#N/A</v>
      </c>
      <c r="J35" s="17" t="e">
        <f>VLOOKUP(D35&amp;"*",工资表明细!D:AT,43,0)</f>
        <v>#N/A</v>
      </c>
      <c r="AC35" s="18" t="e">
        <f t="shared" ref="AC35:AC72" si="2">E35-G35-H35-I35-J35</f>
        <v>#N/A</v>
      </c>
      <c r="AD35" s="18" t="e">
        <f>VLOOKUP(B35,工资表明细!C:AX,48,0)+VLOOKUP(B35,工资表明细!C:AU,45,0)</f>
        <v>#N/A</v>
      </c>
      <c r="AE35" s="18" t="e">
        <f t="shared" ref="AE35:AE72" si="3">AC35-AD35</f>
        <v>#N/A</v>
      </c>
    </row>
    <row r="36" customHeight="1" spans="1:31">
      <c r="A36" s="13" t="s">
        <v>15</v>
      </c>
      <c r="B36" s="10" t="s">
        <v>341</v>
      </c>
      <c r="C36" s="2" t="s">
        <v>268</v>
      </c>
      <c r="D36" s="10" t="s">
        <v>342</v>
      </c>
      <c r="E36" s="11" t="e">
        <f>VLOOKUP(D36&amp;"*",工资表明细!D:BL,61,0)</f>
        <v>#N/A</v>
      </c>
      <c r="G36" s="11" t="e">
        <f>VLOOKUP(D36&amp;"*",工资表明细!D:AP,39,0)</f>
        <v>#N/A</v>
      </c>
      <c r="H36" s="11" t="e">
        <f>VLOOKUP(D36&amp;"*",工资表明细!D:AQ,40,0)</f>
        <v>#N/A</v>
      </c>
      <c r="I36" s="11" t="e">
        <f>VLOOKUP(D36&amp;"*",工资表明细!D:AR,41,0)</f>
        <v>#N/A</v>
      </c>
      <c r="J36" s="17" t="e">
        <f>VLOOKUP(D36&amp;"*",工资表明细!D:AT,43,0)</f>
        <v>#N/A</v>
      </c>
      <c r="AC36" s="18" t="e">
        <f t="shared" si="2"/>
        <v>#N/A</v>
      </c>
      <c r="AD36" s="18" t="e">
        <f>VLOOKUP(B36,工资表明细!C:AX,48,0)+VLOOKUP(B36,工资表明细!C:AU,45,0)</f>
        <v>#N/A</v>
      </c>
      <c r="AE36" s="18" t="e">
        <f t="shared" si="3"/>
        <v>#N/A</v>
      </c>
    </row>
    <row r="37" customHeight="1" spans="1:31">
      <c r="A37" s="13" t="s">
        <v>17</v>
      </c>
      <c r="B37" s="10" t="s">
        <v>343</v>
      </c>
      <c r="C37" s="2" t="s">
        <v>268</v>
      </c>
      <c r="D37" s="10" t="s">
        <v>344</v>
      </c>
      <c r="E37" s="11" t="e">
        <f>VLOOKUP(D37&amp;"*",工资表明细!D:BL,61,0)</f>
        <v>#N/A</v>
      </c>
      <c r="G37" s="11" t="e">
        <f>VLOOKUP(D37&amp;"*",工资表明细!D:AP,39,0)</f>
        <v>#N/A</v>
      </c>
      <c r="H37" s="11" t="e">
        <f>VLOOKUP(D37&amp;"*",工资表明细!D:AQ,40,0)</f>
        <v>#N/A</v>
      </c>
      <c r="I37" s="11" t="e">
        <f>VLOOKUP(D37&amp;"*",工资表明细!D:AR,41,0)</f>
        <v>#N/A</v>
      </c>
      <c r="J37" s="17" t="e">
        <f>VLOOKUP(D37&amp;"*",工资表明细!D:AT,43,0)</f>
        <v>#N/A</v>
      </c>
      <c r="AC37" s="18" t="e">
        <f t="shared" si="2"/>
        <v>#N/A</v>
      </c>
      <c r="AD37" s="18" t="e">
        <f>VLOOKUP(B37,工资表明细!C:AX,48,0)+VLOOKUP(B37,工资表明细!C:AU,45,0)</f>
        <v>#N/A</v>
      </c>
      <c r="AE37" s="18" t="e">
        <f t="shared" si="3"/>
        <v>#N/A</v>
      </c>
    </row>
    <row r="38" customHeight="1" spans="1:31">
      <c r="A38" s="13" t="s">
        <v>13</v>
      </c>
      <c r="B38" s="10" t="s">
        <v>345</v>
      </c>
      <c r="C38" s="2" t="s">
        <v>268</v>
      </c>
      <c r="D38" s="10" t="s">
        <v>346</v>
      </c>
      <c r="E38" s="11" t="e">
        <f>VLOOKUP(D38&amp;"*",工资表明细!D:BL,61,0)</f>
        <v>#N/A</v>
      </c>
      <c r="G38" s="11" t="e">
        <f>VLOOKUP(D38&amp;"*",工资表明细!D:AP,39,0)</f>
        <v>#N/A</v>
      </c>
      <c r="H38" s="11" t="e">
        <f>VLOOKUP(D38&amp;"*",工资表明细!D:AQ,40,0)</f>
        <v>#N/A</v>
      </c>
      <c r="I38" s="11" t="e">
        <f>VLOOKUP(D38&amp;"*",工资表明细!D:AR,41,0)</f>
        <v>#N/A</v>
      </c>
      <c r="J38" s="17" t="e">
        <f>VLOOKUP(D38&amp;"*",工资表明细!D:AT,43,0)</f>
        <v>#N/A</v>
      </c>
      <c r="AC38" s="18" t="e">
        <f t="shared" si="2"/>
        <v>#N/A</v>
      </c>
      <c r="AD38" s="18" t="e">
        <f>VLOOKUP(B38,工资表明细!C:AX,48,0)+VLOOKUP(B38,工资表明细!C:AU,45,0)</f>
        <v>#N/A</v>
      </c>
      <c r="AE38" s="18" t="e">
        <f t="shared" si="3"/>
        <v>#N/A</v>
      </c>
    </row>
    <row r="39" customHeight="1" spans="1:31">
      <c r="A39" s="13" t="s">
        <v>17</v>
      </c>
      <c r="B39" s="10" t="s">
        <v>347</v>
      </c>
      <c r="C39" s="2" t="s">
        <v>268</v>
      </c>
      <c r="D39" s="226" t="s">
        <v>348</v>
      </c>
      <c r="E39" s="11" t="e">
        <f>VLOOKUP(D39&amp;"*",工资表明细!D:BL,61,0)</f>
        <v>#N/A</v>
      </c>
      <c r="G39" s="11" t="e">
        <f>VLOOKUP(D39&amp;"*",工资表明细!D:AP,39,0)</f>
        <v>#N/A</v>
      </c>
      <c r="H39" s="11" t="e">
        <f>VLOOKUP(D39&amp;"*",工资表明细!D:AQ,40,0)</f>
        <v>#N/A</v>
      </c>
      <c r="I39" s="11" t="e">
        <f>VLOOKUP(D39&amp;"*",工资表明细!D:AR,41,0)</f>
        <v>#N/A</v>
      </c>
      <c r="J39" s="17" t="e">
        <f>VLOOKUP(D39&amp;"*",工资表明细!D:AT,43,0)</f>
        <v>#N/A</v>
      </c>
      <c r="AC39" s="18" t="e">
        <f t="shared" si="2"/>
        <v>#N/A</v>
      </c>
      <c r="AD39" s="18" t="e">
        <f>VLOOKUP(B39,工资表明细!C:AX,48,0)+VLOOKUP(B39,工资表明细!C:AU,45,0)</f>
        <v>#N/A</v>
      </c>
      <c r="AE39" s="18" t="e">
        <f t="shared" si="3"/>
        <v>#N/A</v>
      </c>
    </row>
    <row r="40" customHeight="1" spans="1:31">
      <c r="A40" s="13" t="s">
        <v>11</v>
      </c>
      <c r="B40" s="10" t="s">
        <v>349</v>
      </c>
      <c r="C40" s="2" t="s">
        <v>268</v>
      </c>
      <c r="D40" s="226" t="s">
        <v>350</v>
      </c>
      <c r="E40" s="11" t="e">
        <f>VLOOKUP(D40&amp;"*",工资表明细!D:BL,61,0)</f>
        <v>#N/A</v>
      </c>
      <c r="G40" s="11" t="e">
        <f>VLOOKUP(D40&amp;"*",工资表明细!D:AP,39,0)</f>
        <v>#N/A</v>
      </c>
      <c r="H40" s="11" t="e">
        <f>VLOOKUP(D40&amp;"*",工资表明细!D:AQ,40,0)</f>
        <v>#N/A</v>
      </c>
      <c r="I40" s="11" t="e">
        <f>VLOOKUP(D40&amp;"*",工资表明细!D:AR,41,0)</f>
        <v>#N/A</v>
      </c>
      <c r="J40" s="17" t="e">
        <f>VLOOKUP(D40&amp;"*",工资表明细!D:AT,43,0)</f>
        <v>#N/A</v>
      </c>
      <c r="AC40" s="18" t="e">
        <f t="shared" si="2"/>
        <v>#N/A</v>
      </c>
      <c r="AD40" s="18" t="e">
        <f>VLOOKUP(B40,工资表明细!C:AX,48,0)+VLOOKUP(B40,工资表明细!C:AU,45,0)</f>
        <v>#N/A</v>
      </c>
      <c r="AE40" s="18" t="e">
        <f t="shared" si="3"/>
        <v>#N/A</v>
      </c>
    </row>
    <row r="41" customHeight="1" spans="1:31">
      <c r="A41" s="13" t="s">
        <v>11</v>
      </c>
      <c r="B41" s="10" t="s">
        <v>351</v>
      </c>
      <c r="C41" s="2" t="s">
        <v>268</v>
      </c>
      <c r="D41" s="226" t="s">
        <v>352</v>
      </c>
      <c r="E41" s="11" t="e">
        <f>VLOOKUP(D41&amp;"*",工资表明细!D:BL,61,0)</f>
        <v>#N/A</v>
      </c>
      <c r="G41" s="11" t="e">
        <f>VLOOKUP(D41&amp;"*",工资表明细!D:AP,39,0)</f>
        <v>#N/A</v>
      </c>
      <c r="H41" s="11" t="e">
        <f>VLOOKUP(D41&amp;"*",工资表明细!D:AQ,40,0)</f>
        <v>#N/A</v>
      </c>
      <c r="I41" s="11" t="e">
        <f>VLOOKUP(D41&amp;"*",工资表明细!D:AR,41,0)</f>
        <v>#N/A</v>
      </c>
      <c r="J41" s="17" t="e">
        <f>VLOOKUP(D41&amp;"*",工资表明细!D:AT,43,0)</f>
        <v>#N/A</v>
      </c>
      <c r="AC41" s="18" t="e">
        <f t="shared" si="2"/>
        <v>#N/A</v>
      </c>
      <c r="AD41" s="18" t="e">
        <f>VLOOKUP(B41,工资表明细!C:AX,48,0)+VLOOKUP(B41,工资表明细!C:AU,45,0)</f>
        <v>#N/A</v>
      </c>
      <c r="AE41" s="18" t="e">
        <f t="shared" si="3"/>
        <v>#N/A</v>
      </c>
    </row>
    <row r="42" customHeight="1" spans="1:31">
      <c r="A42" s="13" t="s">
        <v>11</v>
      </c>
      <c r="B42" s="10" t="s">
        <v>353</v>
      </c>
      <c r="C42" s="2" t="s">
        <v>268</v>
      </c>
      <c r="D42" s="226" t="s">
        <v>354</v>
      </c>
      <c r="E42" s="11" t="e">
        <f>VLOOKUP(D42&amp;"*",工资表明细!D:BL,61,0)</f>
        <v>#N/A</v>
      </c>
      <c r="G42" s="11" t="e">
        <f>VLOOKUP(D42&amp;"*",工资表明细!D:AP,39,0)</f>
        <v>#N/A</v>
      </c>
      <c r="H42" s="11" t="e">
        <f>VLOOKUP(D42&amp;"*",工资表明细!D:AQ,40,0)</f>
        <v>#N/A</v>
      </c>
      <c r="I42" s="11" t="e">
        <f>VLOOKUP(D42&amp;"*",工资表明细!D:AR,41,0)</f>
        <v>#N/A</v>
      </c>
      <c r="J42" s="17" t="e">
        <f>VLOOKUP(D42&amp;"*",工资表明细!D:AT,43,0)</f>
        <v>#N/A</v>
      </c>
      <c r="AC42" s="18" t="e">
        <f t="shared" si="2"/>
        <v>#N/A</v>
      </c>
      <c r="AD42" s="18" t="e">
        <f>VLOOKUP(B42,工资表明细!C:AX,48,0)+VLOOKUP(B42,工资表明细!C:AU,45,0)</f>
        <v>#N/A</v>
      </c>
      <c r="AE42" s="18" t="e">
        <f t="shared" si="3"/>
        <v>#N/A</v>
      </c>
    </row>
    <row r="43" customHeight="1" spans="1:31">
      <c r="A43" s="13" t="s">
        <v>11</v>
      </c>
      <c r="B43" s="10" t="s">
        <v>355</v>
      </c>
      <c r="C43" s="2" t="s">
        <v>268</v>
      </c>
      <c r="D43" s="226" t="s">
        <v>356</v>
      </c>
      <c r="E43" s="11" t="e">
        <f>VLOOKUP(D43&amp;"*",工资表明细!D:BL,61,0)</f>
        <v>#N/A</v>
      </c>
      <c r="G43" s="11" t="e">
        <f>VLOOKUP(D43&amp;"*",工资表明细!D:AP,39,0)</f>
        <v>#N/A</v>
      </c>
      <c r="H43" s="11" t="e">
        <f>VLOOKUP(D43&amp;"*",工资表明细!D:AQ,40,0)</f>
        <v>#N/A</v>
      </c>
      <c r="I43" s="11" t="e">
        <f>VLOOKUP(D43&amp;"*",工资表明细!D:AR,41,0)</f>
        <v>#N/A</v>
      </c>
      <c r="J43" s="17" t="e">
        <f>VLOOKUP(D43&amp;"*",工资表明细!D:AT,43,0)</f>
        <v>#N/A</v>
      </c>
      <c r="AC43" s="18" t="e">
        <f t="shared" si="2"/>
        <v>#N/A</v>
      </c>
      <c r="AD43" s="18" t="e">
        <f>VLOOKUP(B43,工资表明细!C:AX,48,0)+VLOOKUP(B43,工资表明细!C:AU,45,0)</f>
        <v>#N/A</v>
      </c>
      <c r="AE43" s="18" t="e">
        <f t="shared" si="3"/>
        <v>#N/A</v>
      </c>
    </row>
    <row r="44" customHeight="1" spans="1:31">
      <c r="A44" s="13" t="s">
        <v>11</v>
      </c>
      <c r="B44" s="10" t="s">
        <v>357</v>
      </c>
      <c r="C44" s="2" t="s">
        <v>268</v>
      </c>
      <c r="D44" s="226" t="s">
        <v>358</v>
      </c>
      <c r="E44" s="11" t="e">
        <f>VLOOKUP(D44&amp;"*",工资表明细!D:BL,61,0)</f>
        <v>#N/A</v>
      </c>
      <c r="G44" s="11" t="e">
        <f>VLOOKUP(D44&amp;"*",工资表明细!D:AP,39,0)</f>
        <v>#N/A</v>
      </c>
      <c r="H44" s="11" t="e">
        <f>VLOOKUP(D44&amp;"*",工资表明细!D:AQ,40,0)</f>
        <v>#N/A</v>
      </c>
      <c r="I44" s="11" t="e">
        <f>VLOOKUP(D44&amp;"*",工资表明细!D:AR,41,0)</f>
        <v>#N/A</v>
      </c>
      <c r="J44" s="17" t="e">
        <f>VLOOKUP(D44&amp;"*",工资表明细!D:AT,43,0)</f>
        <v>#N/A</v>
      </c>
      <c r="AC44" s="18" t="e">
        <f t="shared" si="2"/>
        <v>#N/A</v>
      </c>
      <c r="AD44" s="18" t="e">
        <f>VLOOKUP(B44,工资表明细!C:AX,48,0)+VLOOKUP(B44,工资表明细!C:AU,45,0)</f>
        <v>#N/A</v>
      </c>
      <c r="AE44" s="18" t="e">
        <f t="shared" si="3"/>
        <v>#N/A</v>
      </c>
    </row>
    <row r="45" customHeight="1" spans="1:31">
      <c r="A45" s="13" t="s">
        <v>11</v>
      </c>
      <c r="B45" s="10" t="s">
        <v>359</v>
      </c>
      <c r="C45" s="2" t="s">
        <v>268</v>
      </c>
      <c r="D45" s="226" t="s">
        <v>360</v>
      </c>
      <c r="E45" s="11" t="e">
        <f>VLOOKUP(D45&amp;"*",工资表明细!D:BL,61,0)</f>
        <v>#N/A</v>
      </c>
      <c r="G45" s="11" t="e">
        <f>VLOOKUP(D45&amp;"*",工资表明细!D:AP,39,0)</f>
        <v>#N/A</v>
      </c>
      <c r="H45" s="11" t="e">
        <f>VLOOKUP(D45&amp;"*",工资表明细!D:AQ,40,0)</f>
        <v>#N/A</v>
      </c>
      <c r="I45" s="11" t="e">
        <f>VLOOKUP(D45&amp;"*",工资表明细!D:AR,41,0)</f>
        <v>#N/A</v>
      </c>
      <c r="J45" s="17" t="e">
        <f>VLOOKUP(D45&amp;"*",工资表明细!D:AT,43,0)</f>
        <v>#N/A</v>
      </c>
      <c r="AC45" s="18" t="e">
        <f t="shared" si="2"/>
        <v>#N/A</v>
      </c>
      <c r="AD45" s="18" t="e">
        <f>VLOOKUP(B45,工资表明细!C:AX,48,0)+VLOOKUP(B45,工资表明细!C:AU,45,0)</f>
        <v>#N/A</v>
      </c>
      <c r="AE45" s="18" t="e">
        <f t="shared" si="3"/>
        <v>#N/A</v>
      </c>
    </row>
    <row r="46" customHeight="1" spans="1:31">
      <c r="A46" s="13" t="s">
        <v>11</v>
      </c>
      <c r="B46" s="10" t="s">
        <v>361</v>
      </c>
      <c r="C46" s="2" t="s">
        <v>268</v>
      </c>
      <c r="D46" s="10" t="s">
        <v>362</v>
      </c>
      <c r="E46" s="11" t="e">
        <f>VLOOKUP(D46&amp;"*",工资表明细!D:BL,61,0)</f>
        <v>#N/A</v>
      </c>
      <c r="G46" s="11" t="e">
        <f>VLOOKUP(D46&amp;"*",工资表明细!D:AP,39,0)</f>
        <v>#N/A</v>
      </c>
      <c r="H46" s="11" t="e">
        <f>VLOOKUP(D46&amp;"*",工资表明细!D:AQ,40,0)</f>
        <v>#N/A</v>
      </c>
      <c r="I46" s="11" t="e">
        <f>VLOOKUP(D46&amp;"*",工资表明细!D:AR,41,0)</f>
        <v>#N/A</v>
      </c>
      <c r="J46" s="17" t="e">
        <f>VLOOKUP(D46&amp;"*",工资表明细!D:AT,43,0)</f>
        <v>#N/A</v>
      </c>
      <c r="AC46" s="18" t="e">
        <f t="shared" si="2"/>
        <v>#N/A</v>
      </c>
      <c r="AD46" s="18" t="e">
        <f>VLOOKUP(B46,工资表明细!C:AX,48,0)+VLOOKUP(B46,工资表明细!C:AU,45,0)</f>
        <v>#N/A</v>
      </c>
      <c r="AE46" s="18" t="e">
        <f t="shared" si="3"/>
        <v>#N/A</v>
      </c>
    </row>
    <row r="47" customHeight="1" spans="1:31">
      <c r="A47" s="13" t="s">
        <v>11</v>
      </c>
      <c r="B47" s="10" t="s">
        <v>363</v>
      </c>
      <c r="C47" s="2" t="s">
        <v>268</v>
      </c>
      <c r="D47" s="10" t="s">
        <v>364</v>
      </c>
      <c r="E47" s="11" t="e">
        <f>VLOOKUP(D47&amp;"*",工资表明细!D:BL,61,0)</f>
        <v>#N/A</v>
      </c>
      <c r="G47" s="11" t="e">
        <f>VLOOKUP(D47&amp;"*",工资表明细!D:AP,39,0)</f>
        <v>#N/A</v>
      </c>
      <c r="H47" s="11" t="e">
        <f>VLOOKUP(D47&amp;"*",工资表明细!D:AQ,40,0)</f>
        <v>#N/A</v>
      </c>
      <c r="I47" s="11" t="e">
        <f>VLOOKUP(D47&amp;"*",工资表明细!D:AR,41,0)</f>
        <v>#N/A</v>
      </c>
      <c r="J47" s="17" t="e">
        <f>VLOOKUP(D47&amp;"*",工资表明细!D:AT,43,0)</f>
        <v>#N/A</v>
      </c>
      <c r="AC47" s="18" t="e">
        <f t="shared" si="2"/>
        <v>#N/A</v>
      </c>
      <c r="AD47" s="18" t="e">
        <f>VLOOKUP(B47,工资表明细!C:AX,48,0)+VLOOKUP(B47,工资表明细!C:AU,45,0)</f>
        <v>#N/A</v>
      </c>
      <c r="AE47" s="18" t="e">
        <f t="shared" si="3"/>
        <v>#N/A</v>
      </c>
    </row>
    <row r="48" customHeight="1" spans="1:31">
      <c r="A48" s="13" t="s">
        <v>15</v>
      </c>
      <c r="B48" s="10" t="s">
        <v>365</v>
      </c>
      <c r="C48" s="2" t="s">
        <v>268</v>
      </c>
      <c r="D48" s="10" t="s">
        <v>366</v>
      </c>
      <c r="E48" s="11" t="e">
        <f>VLOOKUP(D48&amp;"*",工资表明细!D:BL,61,0)</f>
        <v>#N/A</v>
      </c>
      <c r="G48" s="11" t="e">
        <f>VLOOKUP(D48&amp;"*",工资表明细!D:AP,39,0)</f>
        <v>#N/A</v>
      </c>
      <c r="H48" s="11" t="e">
        <f>VLOOKUP(D48&amp;"*",工资表明细!D:AQ,40,0)</f>
        <v>#N/A</v>
      </c>
      <c r="I48" s="11" t="e">
        <f>VLOOKUP(D48&amp;"*",工资表明细!D:AR,41,0)</f>
        <v>#N/A</v>
      </c>
      <c r="J48" s="17" t="e">
        <f>VLOOKUP(D48&amp;"*",工资表明细!D:AT,43,0)</f>
        <v>#N/A</v>
      </c>
      <c r="AC48" s="18" t="e">
        <f t="shared" si="2"/>
        <v>#N/A</v>
      </c>
      <c r="AD48" s="18" t="e">
        <f>VLOOKUP(B48,工资表明细!C:AX,48,0)+VLOOKUP(B48,工资表明细!C:AU,45,0)</f>
        <v>#N/A</v>
      </c>
      <c r="AE48" s="18" t="e">
        <f t="shared" si="3"/>
        <v>#N/A</v>
      </c>
    </row>
    <row r="49" customHeight="1" spans="1:31">
      <c r="A49" s="13" t="s">
        <v>11</v>
      </c>
      <c r="B49" s="10" t="s">
        <v>367</v>
      </c>
      <c r="C49" s="2" t="s">
        <v>268</v>
      </c>
      <c r="D49" s="10" t="s">
        <v>368</v>
      </c>
      <c r="E49" s="11" t="e">
        <f>VLOOKUP(D49&amp;"*",工资表明细!D:BL,61,0)</f>
        <v>#N/A</v>
      </c>
      <c r="G49" s="11" t="e">
        <f>VLOOKUP(D49&amp;"*",工资表明细!D:AP,39,0)</f>
        <v>#N/A</v>
      </c>
      <c r="H49" s="11" t="e">
        <f>VLOOKUP(D49&amp;"*",工资表明细!D:AQ,40,0)</f>
        <v>#N/A</v>
      </c>
      <c r="I49" s="11" t="e">
        <f>VLOOKUP(D49&amp;"*",工资表明细!D:AR,41,0)</f>
        <v>#N/A</v>
      </c>
      <c r="J49" s="17" t="e">
        <f>VLOOKUP(D49&amp;"*",工资表明细!D:AT,43,0)</f>
        <v>#N/A</v>
      </c>
      <c r="AC49" s="18" t="e">
        <f t="shared" si="2"/>
        <v>#N/A</v>
      </c>
      <c r="AD49" s="18" t="e">
        <f>VLOOKUP(B49,工资表明细!C:AX,48,0)+VLOOKUP(B49,工资表明细!C:AU,45,0)</f>
        <v>#N/A</v>
      </c>
      <c r="AE49" s="18" t="e">
        <f t="shared" si="3"/>
        <v>#N/A</v>
      </c>
    </row>
    <row r="50" customHeight="1" spans="1:31">
      <c r="A50" s="13" t="s">
        <v>15</v>
      </c>
      <c r="B50" s="10" t="s">
        <v>369</v>
      </c>
      <c r="C50" s="2" t="s">
        <v>268</v>
      </c>
      <c r="D50" s="10" t="s">
        <v>370</v>
      </c>
      <c r="E50" s="11" t="e">
        <f>VLOOKUP(D50&amp;"*",工资表明细!D:BL,61,0)</f>
        <v>#N/A</v>
      </c>
      <c r="G50" s="11" t="e">
        <f>VLOOKUP(D50&amp;"*",工资表明细!D:AP,39,0)</f>
        <v>#N/A</v>
      </c>
      <c r="H50" s="11" t="e">
        <f>VLOOKUP(D50&amp;"*",工资表明细!D:AQ,40,0)</f>
        <v>#N/A</v>
      </c>
      <c r="I50" s="11" t="e">
        <f>VLOOKUP(D50&amp;"*",工资表明细!D:AR,41,0)</f>
        <v>#N/A</v>
      </c>
      <c r="J50" s="17" t="e">
        <f>VLOOKUP(D50&amp;"*",工资表明细!D:AT,43,0)</f>
        <v>#N/A</v>
      </c>
      <c r="AC50" s="18" t="e">
        <f t="shared" si="2"/>
        <v>#N/A</v>
      </c>
      <c r="AD50" s="18" t="e">
        <f>VLOOKUP(B50,工资表明细!C:AX,48,0)+VLOOKUP(B50,工资表明细!C:AU,45,0)</f>
        <v>#N/A</v>
      </c>
      <c r="AE50" s="18" t="e">
        <f t="shared" si="3"/>
        <v>#N/A</v>
      </c>
    </row>
    <row r="51" customHeight="1" spans="1:31">
      <c r="A51" s="13" t="s">
        <v>11</v>
      </c>
      <c r="B51" s="10" t="s">
        <v>371</v>
      </c>
      <c r="C51" s="2" t="s">
        <v>268</v>
      </c>
      <c r="D51" s="10" t="s">
        <v>372</v>
      </c>
      <c r="E51" s="11" t="e">
        <f>VLOOKUP(D51&amp;"*",工资表明细!D:BL,61,0)</f>
        <v>#N/A</v>
      </c>
      <c r="G51" s="11" t="e">
        <f>VLOOKUP(D51&amp;"*",工资表明细!D:AP,39,0)</f>
        <v>#N/A</v>
      </c>
      <c r="H51" s="11" t="e">
        <f>VLOOKUP(D51&amp;"*",工资表明细!D:AQ,40,0)</f>
        <v>#N/A</v>
      </c>
      <c r="I51" s="11" t="e">
        <f>VLOOKUP(D51&amp;"*",工资表明细!D:AR,41,0)</f>
        <v>#N/A</v>
      </c>
      <c r="J51" s="17" t="e">
        <f>VLOOKUP(D51&amp;"*",工资表明细!D:AT,43,0)</f>
        <v>#N/A</v>
      </c>
      <c r="AC51" s="18" t="e">
        <f t="shared" si="2"/>
        <v>#N/A</v>
      </c>
      <c r="AD51" s="18" t="e">
        <f>VLOOKUP(B51,工资表明细!C:AX,48,0)+VLOOKUP(B51,工资表明细!C:AU,45,0)</f>
        <v>#N/A</v>
      </c>
      <c r="AE51" s="18" t="e">
        <f t="shared" si="3"/>
        <v>#N/A</v>
      </c>
    </row>
    <row r="52" customHeight="1" spans="1:31">
      <c r="A52" s="13" t="s">
        <v>11</v>
      </c>
      <c r="B52" s="10" t="s">
        <v>375</v>
      </c>
      <c r="C52" s="2" t="s">
        <v>268</v>
      </c>
      <c r="D52" s="10" t="s">
        <v>376</v>
      </c>
      <c r="E52" s="11" t="e">
        <f>VLOOKUP(D52&amp;"*",工资表明细!D:BL,61,0)</f>
        <v>#N/A</v>
      </c>
      <c r="G52" s="11" t="e">
        <f>VLOOKUP(D52&amp;"*",工资表明细!D:AP,39,0)</f>
        <v>#N/A</v>
      </c>
      <c r="H52" s="11" t="e">
        <f>VLOOKUP(D52&amp;"*",工资表明细!D:AQ,40,0)</f>
        <v>#N/A</v>
      </c>
      <c r="I52" s="11" t="e">
        <f>VLOOKUP(D52&amp;"*",工资表明细!D:AR,41,0)</f>
        <v>#N/A</v>
      </c>
      <c r="J52" s="17" t="e">
        <f>VLOOKUP(D52&amp;"*",工资表明细!D:AT,43,0)</f>
        <v>#N/A</v>
      </c>
      <c r="AC52" s="18" t="e">
        <f t="shared" si="2"/>
        <v>#N/A</v>
      </c>
      <c r="AD52" s="18" t="e">
        <f>VLOOKUP(B52,工资表明细!C:AX,48,0)+VLOOKUP(B52,工资表明细!C:AU,45,0)</f>
        <v>#N/A</v>
      </c>
      <c r="AE52" s="18" t="e">
        <f t="shared" si="3"/>
        <v>#N/A</v>
      </c>
    </row>
    <row r="53" customHeight="1" spans="1:31">
      <c r="A53" s="13" t="s">
        <v>11</v>
      </c>
      <c r="B53" s="10" t="s">
        <v>377</v>
      </c>
      <c r="C53" s="2" t="s">
        <v>268</v>
      </c>
      <c r="D53" s="10" t="s">
        <v>378</v>
      </c>
      <c r="E53" s="11" t="e">
        <f>VLOOKUP(D53&amp;"*",工资表明细!D:BL,61,0)</f>
        <v>#N/A</v>
      </c>
      <c r="G53" s="11" t="e">
        <f>VLOOKUP(D53&amp;"*",工资表明细!D:AP,39,0)</f>
        <v>#N/A</v>
      </c>
      <c r="H53" s="11" t="e">
        <f>VLOOKUP(D53&amp;"*",工资表明细!D:AQ,40,0)</f>
        <v>#N/A</v>
      </c>
      <c r="I53" s="11" t="e">
        <f>VLOOKUP(D53&amp;"*",工资表明细!D:AR,41,0)</f>
        <v>#N/A</v>
      </c>
      <c r="J53" s="17" t="e">
        <f>VLOOKUP(D53&amp;"*",工资表明细!D:AT,43,0)</f>
        <v>#N/A</v>
      </c>
      <c r="AC53" s="18" t="e">
        <f t="shared" si="2"/>
        <v>#N/A</v>
      </c>
      <c r="AD53" s="18" t="e">
        <f>VLOOKUP(B53,工资表明细!C:AX,48,0)+VLOOKUP(B53,工资表明细!C:AU,45,0)</f>
        <v>#N/A</v>
      </c>
      <c r="AE53" s="18" t="e">
        <f t="shared" si="3"/>
        <v>#N/A</v>
      </c>
    </row>
    <row r="54" customHeight="1" spans="1:31">
      <c r="A54" s="13" t="s">
        <v>11</v>
      </c>
      <c r="B54" s="10" t="s">
        <v>379</v>
      </c>
      <c r="C54" s="2" t="s">
        <v>268</v>
      </c>
      <c r="D54" s="10" t="s">
        <v>380</v>
      </c>
      <c r="E54" s="11" t="e">
        <f>VLOOKUP(D54&amp;"*",工资表明细!D:BL,61,0)</f>
        <v>#N/A</v>
      </c>
      <c r="G54" s="11" t="e">
        <f>VLOOKUP(D54&amp;"*",工资表明细!D:AP,39,0)</f>
        <v>#N/A</v>
      </c>
      <c r="H54" s="11" t="e">
        <f>VLOOKUP(D54&amp;"*",工资表明细!D:AQ,40,0)</f>
        <v>#N/A</v>
      </c>
      <c r="I54" s="11" t="e">
        <f>VLOOKUP(D54&amp;"*",工资表明细!D:AR,41,0)</f>
        <v>#N/A</v>
      </c>
      <c r="J54" s="17" t="e">
        <f>VLOOKUP(D54&amp;"*",工资表明细!D:AT,43,0)</f>
        <v>#N/A</v>
      </c>
      <c r="AC54" s="18" t="e">
        <f t="shared" si="2"/>
        <v>#N/A</v>
      </c>
      <c r="AD54" s="18" t="e">
        <f>VLOOKUP(B54,工资表明细!C:AX,48,0)+VLOOKUP(B54,工资表明细!C:AU,45,0)</f>
        <v>#N/A</v>
      </c>
      <c r="AE54" s="18" t="e">
        <f t="shared" si="3"/>
        <v>#N/A</v>
      </c>
    </row>
    <row r="55" customHeight="1" spans="1:31">
      <c r="A55" s="13" t="s">
        <v>11</v>
      </c>
      <c r="B55" s="10" t="s">
        <v>381</v>
      </c>
      <c r="C55" s="2" t="s">
        <v>268</v>
      </c>
      <c r="D55" s="10" t="s">
        <v>382</v>
      </c>
      <c r="E55" s="11" t="e">
        <f>VLOOKUP(D55&amp;"*",工资表明细!D:BL,61,0)</f>
        <v>#N/A</v>
      </c>
      <c r="G55" s="11" t="e">
        <f>VLOOKUP(D55&amp;"*",工资表明细!D:AP,39,0)</f>
        <v>#N/A</v>
      </c>
      <c r="H55" s="11" t="e">
        <f>VLOOKUP(D55&amp;"*",工资表明细!D:AQ,40,0)</f>
        <v>#N/A</v>
      </c>
      <c r="I55" s="11" t="e">
        <f>VLOOKUP(D55&amp;"*",工资表明细!D:AR,41,0)</f>
        <v>#N/A</v>
      </c>
      <c r="J55" s="17" t="e">
        <f>VLOOKUP(D55&amp;"*",工资表明细!D:AT,43,0)</f>
        <v>#N/A</v>
      </c>
      <c r="AC55" s="18" t="e">
        <f t="shared" si="2"/>
        <v>#N/A</v>
      </c>
      <c r="AD55" s="18" t="e">
        <f>VLOOKUP(B55,工资表明细!C:AX,48,0)+VLOOKUP(B55,工资表明细!C:AU,45,0)</f>
        <v>#N/A</v>
      </c>
      <c r="AE55" s="18" t="e">
        <f t="shared" si="3"/>
        <v>#N/A</v>
      </c>
    </row>
    <row r="56" customHeight="1" spans="1:31">
      <c r="A56" s="13" t="s">
        <v>15</v>
      </c>
      <c r="B56" s="10" t="s">
        <v>383</v>
      </c>
      <c r="C56" s="2" t="s">
        <v>268</v>
      </c>
      <c r="D56" s="10" t="s">
        <v>384</v>
      </c>
      <c r="E56" s="11" t="e">
        <f>VLOOKUP(D56&amp;"*",工资表明细!D:BL,61,0)</f>
        <v>#N/A</v>
      </c>
      <c r="G56" s="11" t="e">
        <f>VLOOKUP(D56&amp;"*",工资表明细!D:AP,39,0)</f>
        <v>#N/A</v>
      </c>
      <c r="H56" s="11" t="e">
        <f>VLOOKUP(D56&amp;"*",工资表明细!D:AQ,40,0)</f>
        <v>#N/A</v>
      </c>
      <c r="I56" s="11" t="e">
        <f>VLOOKUP(D56&amp;"*",工资表明细!D:AR,41,0)</f>
        <v>#N/A</v>
      </c>
      <c r="J56" s="17" t="e">
        <f>VLOOKUP(D56&amp;"*",工资表明细!D:AT,43,0)</f>
        <v>#N/A</v>
      </c>
      <c r="AC56" s="18" t="e">
        <f t="shared" si="2"/>
        <v>#N/A</v>
      </c>
      <c r="AD56" s="18" t="e">
        <f>VLOOKUP(B56,工资表明细!C:AX,48,0)+VLOOKUP(B56,工资表明细!C:AU,45,0)</f>
        <v>#N/A</v>
      </c>
      <c r="AE56" s="18" t="e">
        <f t="shared" si="3"/>
        <v>#N/A</v>
      </c>
    </row>
    <row r="57" customHeight="1" spans="1:31">
      <c r="A57" s="13" t="s">
        <v>11</v>
      </c>
      <c r="B57" s="10" t="s">
        <v>385</v>
      </c>
      <c r="C57" s="2" t="s">
        <v>268</v>
      </c>
      <c r="D57" s="10" t="s">
        <v>386</v>
      </c>
      <c r="E57" s="11" t="e">
        <f>VLOOKUP(D57&amp;"*",工资表明细!D:BL,61,0)</f>
        <v>#N/A</v>
      </c>
      <c r="G57" s="11" t="e">
        <f>VLOOKUP(D57&amp;"*",工资表明细!D:AP,39,0)</f>
        <v>#N/A</v>
      </c>
      <c r="H57" s="11" t="e">
        <f>VLOOKUP(D57&amp;"*",工资表明细!D:AQ,40,0)</f>
        <v>#N/A</v>
      </c>
      <c r="I57" s="11" t="e">
        <f>VLOOKUP(D57&amp;"*",工资表明细!D:AR,41,0)</f>
        <v>#N/A</v>
      </c>
      <c r="J57" s="17" t="e">
        <f>VLOOKUP(D57&amp;"*",工资表明细!D:AT,43,0)</f>
        <v>#N/A</v>
      </c>
      <c r="AC57" s="18" t="e">
        <f t="shared" si="2"/>
        <v>#N/A</v>
      </c>
      <c r="AD57" s="18" t="e">
        <f>VLOOKUP(B57,工资表明细!C:AX,48,0)+VLOOKUP(B57,工资表明细!C:AU,45,0)</f>
        <v>#N/A</v>
      </c>
      <c r="AE57" s="18" t="e">
        <f t="shared" si="3"/>
        <v>#N/A</v>
      </c>
    </row>
    <row r="58" customHeight="1" spans="1:31">
      <c r="A58" s="13" t="s">
        <v>11</v>
      </c>
      <c r="B58" s="10" t="s">
        <v>387</v>
      </c>
      <c r="C58" s="2" t="s">
        <v>268</v>
      </c>
      <c r="D58" s="10" t="s">
        <v>388</v>
      </c>
      <c r="E58" s="11" t="e">
        <f>VLOOKUP(D58&amp;"*",工资表明细!D:BL,61,0)</f>
        <v>#N/A</v>
      </c>
      <c r="G58" s="11" t="e">
        <f>VLOOKUP(D58&amp;"*",工资表明细!D:AP,39,0)</f>
        <v>#N/A</v>
      </c>
      <c r="H58" s="11" t="e">
        <f>VLOOKUP(D58&amp;"*",工资表明细!D:AQ,40,0)</f>
        <v>#N/A</v>
      </c>
      <c r="I58" s="11" t="e">
        <f>VLOOKUP(D58&amp;"*",工资表明细!D:AR,41,0)</f>
        <v>#N/A</v>
      </c>
      <c r="J58" s="17" t="e">
        <f>VLOOKUP(D58&amp;"*",工资表明细!D:AT,43,0)</f>
        <v>#N/A</v>
      </c>
      <c r="AC58" s="18" t="e">
        <f t="shared" si="2"/>
        <v>#N/A</v>
      </c>
      <c r="AD58" s="18" t="e">
        <f>VLOOKUP(B58,工资表明细!C:AX,48,0)+VLOOKUP(B58,工资表明细!C:AU,45,0)</f>
        <v>#N/A</v>
      </c>
      <c r="AE58" s="18" t="e">
        <f t="shared" si="3"/>
        <v>#N/A</v>
      </c>
    </row>
    <row r="59" customHeight="1" spans="1:31">
      <c r="A59" s="13" t="s">
        <v>11</v>
      </c>
      <c r="B59" s="10" t="s">
        <v>389</v>
      </c>
      <c r="C59" s="2" t="s">
        <v>268</v>
      </c>
      <c r="D59" s="10" t="s">
        <v>390</v>
      </c>
      <c r="E59" s="11" t="e">
        <f>VLOOKUP(D59&amp;"*",工资表明细!D:BL,61,0)</f>
        <v>#N/A</v>
      </c>
      <c r="G59" s="11" t="e">
        <f>VLOOKUP(D59&amp;"*",工资表明细!D:AP,39,0)</f>
        <v>#N/A</v>
      </c>
      <c r="H59" s="11" t="e">
        <f>VLOOKUP(D59&amp;"*",工资表明细!D:AQ,40,0)</f>
        <v>#N/A</v>
      </c>
      <c r="I59" s="11" t="e">
        <f>VLOOKUP(D59&amp;"*",工资表明细!D:AR,41,0)</f>
        <v>#N/A</v>
      </c>
      <c r="J59" s="17" t="e">
        <f>VLOOKUP(D59&amp;"*",工资表明细!D:AT,43,0)</f>
        <v>#N/A</v>
      </c>
      <c r="AC59" s="18" t="e">
        <f t="shared" si="2"/>
        <v>#N/A</v>
      </c>
      <c r="AD59" s="18" t="e">
        <f>VLOOKUP(B59,工资表明细!C:AX,48,0)+VLOOKUP(B59,工资表明细!C:AU,45,0)</f>
        <v>#N/A</v>
      </c>
      <c r="AE59" s="18" t="e">
        <f t="shared" si="3"/>
        <v>#N/A</v>
      </c>
    </row>
    <row r="60" customHeight="1" spans="1:31">
      <c r="A60" s="13" t="s">
        <v>15</v>
      </c>
      <c r="B60" s="10" t="s">
        <v>391</v>
      </c>
      <c r="C60" s="2" t="s">
        <v>268</v>
      </c>
      <c r="D60" s="10" t="s">
        <v>392</v>
      </c>
      <c r="E60" s="11" t="e">
        <f>VLOOKUP(D60&amp;"*",工资表明细!D:BL,61,0)</f>
        <v>#N/A</v>
      </c>
      <c r="G60" s="11" t="e">
        <f>VLOOKUP(D60&amp;"*",工资表明细!D:AP,39,0)</f>
        <v>#N/A</v>
      </c>
      <c r="H60" s="11" t="e">
        <f>VLOOKUP(D60&amp;"*",工资表明细!D:AQ,40,0)</f>
        <v>#N/A</v>
      </c>
      <c r="I60" s="11" t="e">
        <f>VLOOKUP(D60&amp;"*",工资表明细!D:AR,41,0)</f>
        <v>#N/A</v>
      </c>
      <c r="J60" s="17" t="e">
        <f>VLOOKUP(D60&amp;"*",工资表明细!D:AT,43,0)</f>
        <v>#N/A</v>
      </c>
      <c r="AC60" s="18" t="e">
        <f t="shared" si="2"/>
        <v>#N/A</v>
      </c>
      <c r="AD60" s="18" t="e">
        <f>VLOOKUP(B60,工资表明细!C:AX,48,0)+VLOOKUP(B60,工资表明细!C:AU,45,0)</f>
        <v>#N/A</v>
      </c>
      <c r="AE60" s="18" t="e">
        <f t="shared" si="3"/>
        <v>#N/A</v>
      </c>
    </row>
    <row r="61" customHeight="1" spans="1:31">
      <c r="A61" s="13" t="s">
        <v>15</v>
      </c>
      <c r="B61" s="10" t="s">
        <v>393</v>
      </c>
      <c r="C61" s="2" t="s">
        <v>268</v>
      </c>
      <c r="D61" s="10" t="s">
        <v>394</v>
      </c>
      <c r="E61" s="11" t="e">
        <f>VLOOKUP(D61&amp;"*",工资表明细!D:BL,61,0)</f>
        <v>#N/A</v>
      </c>
      <c r="G61" s="11" t="e">
        <f>VLOOKUP(D61&amp;"*",工资表明细!D:AP,39,0)</f>
        <v>#N/A</v>
      </c>
      <c r="H61" s="11" t="e">
        <f>VLOOKUP(D61&amp;"*",工资表明细!D:AQ,40,0)</f>
        <v>#N/A</v>
      </c>
      <c r="I61" s="11" t="e">
        <f>VLOOKUP(D61&amp;"*",工资表明细!D:AR,41,0)</f>
        <v>#N/A</v>
      </c>
      <c r="J61" s="17" t="e">
        <f>VLOOKUP(D61&amp;"*",工资表明细!D:AT,43,0)</f>
        <v>#N/A</v>
      </c>
      <c r="AC61" s="18" t="e">
        <f t="shared" si="2"/>
        <v>#N/A</v>
      </c>
      <c r="AD61" s="18" t="e">
        <f>VLOOKUP(B61,工资表明细!C:AX,48,0)+VLOOKUP(B61,工资表明细!C:AU,45,0)</f>
        <v>#N/A</v>
      </c>
      <c r="AE61" s="18" t="e">
        <f t="shared" si="3"/>
        <v>#N/A</v>
      </c>
    </row>
    <row r="62" customHeight="1" spans="1:31">
      <c r="A62" s="13" t="s">
        <v>11</v>
      </c>
      <c r="B62" s="10" t="s">
        <v>395</v>
      </c>
      <c r="C62" s="2" t="s">
        <v>268</v>
      </c>
      <c r="D62" s="10" t="s">
        <v>396</v>
      </c>
      <c r="E62" s="11" t="e">
        <f>VLOOKUP(D62&amp;"*",工资表明细!D:BL,61,0)</f>
        <v>#N/A</v>
      </c>
      <c r="G62" s="11" t="e">
        <f>VLOOKUP(D62&amp;"*",工资表明细!D:AP,39,0)</f>
        <v>#N/A</v>
      </c>
      <c r="H62" s="11" t="e">
        <f>VLOOKUP(D62&amp;"*",工资表明细!D:AQ,40,0)</f>
        <v>#N/A</v>
      </c>
      <c r="I62" s="11" t="e">
        <f>VLOOKUP(D62&amp;"*",工资表明细!D:AR,41,0)</f>
        <v>#N/A</v>
      </c>
      <c r="J62" s="17" t="e">
        <f>VLOOKUP(D62&amp;"*",工资表明细!D:AT,43,0)</f>
        <v>#N/A</v>
      </c>
      <c r="AC62" s="18" t="e">
        <f t="shared" si="2"/>
        <v>#N/A</v>
      </c>
      <c r="AD62" s="18" t="e">
        <f>VLOOKUP(B62,工资表明细!C:AX,48,0)+VLOOKUP(B62,工资表明细!C:AU,45,0)</f>
        <v>#N/A</v>
      </c>
      <c r="AE62" s="18" t="e">
        <f t="shared" si="3"/>
        <v>#N/A</v>
      </c>
    </row>
    <row r="63" customHeight="1" spans="1:31">
      <c r="A63" s="13" t="s">
        <v>11</v>
      </c>
      <c r="B63" s="10" t="s">
        <v>397</v>
      </c>
      <c r="C63" s="2" t="s">
        <v>268</v>
      </c>
      <c r="D63" s="10" t="s">
        <v>398</v>
      </c>
      <c r="E63" s="11" t="e">
        <f>VLOOKUP(D63&amp;"*",工资表明细!D:BL,61,0)</f>
        <v>#N/A</v>
      </c>
      <c r="G63" s="11" t="e">
        <f>VLOOKUP(D63&amp;"*",工资表明细!D:AP,39,0)</f>
        <v>#N/A</v>
      </c>
      <c r="H63" s="11" t="e">
        <f>VLOOKUP(D63&amp;"*",工资表明细!D:AQ,40,0)</f>
        <v>#N/A</v>
      </c>
      <c r="I63" s="11" t="e">
        <f>VLOOKUP(D63&amp;"*",工资表明细!D:AR,41,0)</f>
        <v>#N/A</v>
      </c>
      <c r="J63" s="17" t="e">
        <f>VLOOKUP(D63&amp;"*",工资表明细!D:AT,43,0)</f>
        <v>#N/A</v>
      </c>
      <c r="AC63" s="18" t="e">
        <f t="shared" si="2"/>
        <v>#N/A</v>
      </c>
      <c r="AD63" s="18" t="e">
        <f>VLOOKUP(B63,工资表明细!C:AX,48,0)+VLOOKUP(B63,工资表明细!C:AU,45,0)</f>
        <v>#N/A</v>
      </c>
      <c r="AE63" s="18" t="e">
        <f t="shared" si="3"/>
        <v>#N/A</v>
      </c>
    </row>
    <row r="64" customHeight="1" spans="1:31">
      <c r="A64" s="13" t="s">
        <v>11</v>
      </c>
      <c r="B64" s="10" t="s">
        <v>399</v>
      </c>
      <c r="C64" s="2" t="s">
        <v>268</v>
      </c>
      <c r="D64" s="10" t="s">
        <v>400</v>
      </c>
      <c r="E64" s="11" t="e">
        <f>VLOOKUP(D64&amp;"*",工资表明细!D:BL,61,0)</f>
        <v>#N/A</v>
      </c>
      <c r="G64" s="11" t="e">
        <f>VLOOKUP(D64&amp;"*",工资表明细!D:AP,39,0)</f>
        <v>#N/A</v>
      </c>
      <c r="H64" s="11" t="e">
        <f>VLOOKUP(D64&amp;"*",工资表明细!D:AQ,40,0)</f>
        <v>#N/A</v>
      </c>
      <c r="I64" s="11" t="e">
        <f>VLOOKUP(D64&amp;"*",工资表明细!D:AR,41,0)</f>
        <v>#N/A</v>
      </c>
      <c r="J64" s="17" t="e">
        <f>VLOOKUP(D64&amp;"*",工资表明细!D:AT,43,0)</f>
        <v>#N/A</v>
      </c>
      <c r="AC64" s="18" t="e">
        <f t="shared" si="2"/>
        <v>#N/A</v>
      </c>
      <c r="AD64" s="18" t="e">
        <f>VLOOKUP(B64,工资表明细!C:AX,48,0)+VLOOKUP(B64,工资表明细!C:AU,45,0)</f>
        <v>#N/A</v>
      </c>
      <c r="AE64" s="18" t="e">
        <f t="shared" si="3"/>
        <v>#N/A</v>
      </c>
    </row>
    <row r="65" customHeight="1" spans="1:32">
      <c r="A65" s="13" t="s">
        <v>11</v>
      </c>
      <c r="B65" s="10" t="s">
        <v>401</v>
      </c>
      <c r="C65" s="2" t="s">
        <v>268</v>
      </c>
      <c r="D65" s="10" t="s">
        <v>402</v>
      </c>
      <c r="E65" s="11" t="e">
        <f>VLOOKUP(D65&amp;"*",工资表明细!D:BL,61,0)</f>
        <v>#N/A</v>
      </c>
      <c r="G65" s="11" t="e">
        <f>VLOOKUP(D65&amp;"*",工资表明细!D:AP,39,0)</f>
        <v>#N/A</v>
      </c>
      <c r="H65" s="11" t="e">
        <f>VLOOKUP(D65&amp;"*",工资表明细!D:AQ,40,0)</f>
        <v>#N/A</v>
      </c>
      <c r="I65" s="11" t="e">
        <f>VLOOKUP(D65&amp;"*",工资表明细!D:AR,41,0)</f>
        <v>#N/A</v>
      </c>
      <c r="J65" s="17" t="e">
        <f>VLOOKUP(D65&amp;"*",工资表明细!D:AT,43,0)</f>
        <v>#N/A</v>
      </c>
      <c r="AC65" s="18" t="e">
        <f t="shared" si="2"/>
        <v>#N/A</v>
      </c>
      <c r="AD65" s="18" t="e">
        <f>VLOOKUP(B65,工资表明细!C:AX,48,0)+VLOOKUP(B65,工资表明细!C:AU,45,0)</f>
        <v>#N/A</v>
      </c>
      <c r="AE65" s="18" t="e">
        <f t="shared" si="3"/>
        <v>#N/A</v>
      </c>
    </row>
    <row r="66" customHeight="1" spans="1:32">
      <c r="A66" s="13" t="s">
        <v>11</v>
      </c>
      <c r="B66" s="10" t="s">
        <v>403</v>
      </c>
      <c r="C66" s="2" t="s">
        <v>268</v>
      </c>
      <c r="D66" s="10" t="s">
        <v>404</v>
      </c>
      <c r="E66" s="11" t="e">
        <f>VLOOKUP(D66&amp;"*",工资表明细!D:BL,61,0)</f>
        <v>#N/A</v>
      </c>
      <c r="G66" s="11" t="e">
        <f>VLOOKUP(D66&amp;"*",工资表明细!D:AP,39,0)</f>
        <v>#N/A</v>
      </c>
      <c r="H66" s="11" t="e">
        <f>VLOOKUP(D66&amp;"*",工资表明细!D:AQ,40,0)</f>
        <v>#N/A</v>
      </c>
      <c r="I66" s="11" t="e">
        <f>VLOOKUP(D66&amp;"*",工资表明细!D:AR,41,0)</f>
        <v>#N/A</v>
      </c>
      <c r="J66" s="17" t="e">
        <f>VLOOKUP(D66&amp;"*",工资表明细!D:AT,43,0)</f>
        <v>#N/A</v>
      </c>
      <c r="AC66" s="18" t="e">
        <f t="shared" si="2"/>
        <v>#N/A</v>
      </c>
      <c r="AD66" s="18" t="e">
        <f>VLOOKUP(B66,工资表明细!C:AX,48,0)+VLOOKUP(B66,工资表明细!C:AU,45,0)</f>
        <v>#N/A</v>
      </c>
      <c r="AE66" s="18" t="e">
        <f t="shared" si="3"/>
        <v>#N/A</v>
      </c>
    </row>
    <row r="67" customHeight="1" spans="1:32">
      <c r="A67" s="13" t="s">
        <v>11</v>
      </c>
      <c r="B67" s="10" t="s">
        <v>405</v>
      </c>
      <c r="C67" s="2" t="s">
        <v>268</v>
      </c>
      <c r="D67" s="10" t="s">
        <v>406</v>
      </c>
      <c r="E67" s="11" t="e">
        <f>VLOOKUP(D67&amp;"*",工资表明细!D:BL,61,0)</f>
        <v>#N/A</v>
      </c>
      <c r="G67" s="11" t="e">
        <f>VLOOKUP(D67&amp;"*",工资表明细!D:AP,39,0)</f>
        <v>#N/A</v>
      </c>
      <c r="H67" s="11" t="e">
        <f>VLOOKUP(D67&amp;"*",工资表明细!D:AQ,40,0)</f>
        <v>#N/A</v>
      </c>
      <c r="I67" s="11" t="e">
        <f>VLOOKUP(D67&amp;"*",工资表明细!D:AR,41,0)</f>
        <v>#N/A</v>
      </c>
      <c r="J67" s="17" t="e">
        <f>VLOOKUP(D67&amp;"*",工资表明细!D:AT,43,0)</f>
        <v>#N/A</v>
      </c>
      <c r="AC67" s="18" t="e">
        <f t="shared" si="2"/>
        <v>#N/A</v>
      </c>
      <c r="AD67" s="18" t="e">
        <f>VLOOKUP(B67,工资表明细!C:AX,48,0)+VLOOKUP(B67,工资表明细!C:AU,45,0)</f>
        <v>#N/A</v>
      </c>
      <c r="AE67" s="18" t="e">
        <f t="shared" si="3"/>
        <v>#N/A</v>
      </c>
    </row>
    <row r="68" customHeight="1" spans="1:32">
      <c r="A68" s="13" t="s">
        <v>11</v>
      </c>
      <c r="B68" s="10" t="s">
        <v>407</v>
      </c>
      <c r="C68" s="2" t="s">
        <v>268</v>
      </c>
      <c r="D68" s="10" t="s">
        <v>408</v>
      </c>
      <c r="E68" s="11" t="e">
        <f>VLOOKUP(D68&amp;"*",工资表明细!D:BL,61,0)</f>
        <v>#N/A</v>
      </c>
      <c r="G68" s="11" t="e">
        <f>VLOOKUP(D68&amp;"*",工资表明细!D:AP,39,0)</f>
        <v>#N/A</v>
      </c>
      <c r="H68" s="11" t="e">
        <f>VLOOKUP(D68&amp;"*",工资表明细!D:AQ,40,0)</f>
        <v>#N/A</v>
      </c>
      <c r="I68" s="11" t="e">
        <f>VLOOKUP(D68&amp;"*",工资表明细!D:AR,41,0)</f>
        <v>#N/A</v>
      </c>
      <c r="J68" s="17" t="e">
        <f>VLOOKUP(D68&amp;"*",工资表明细!D:AT,43,0)</f>
        <v>#N/A</v>
      </c>
      <c r="AC68" s="18" t="e">
        <f t="shared" si="2"/>
        <v>#N/A</v>
      </c>
      <c r="AD68" s="18" t="e">
        <f>VLOOKUP(B68,工资表明细!C:AX,48,0)+VLOOKUP(B68,工资表明细!C:AU,45,0)</f>
        <v>#N/A</v>
      </c>
      <c r="AE68" s="18" t="e">
        <f t="shared" si="3"/>
        <v>#N/A</v>
      </c>
    </row>
    <row r="69" customHeight="1" spans="1:32">
      <c r="A69" s="13" t="s">
        <v>15</v>
      </c>
      <c r="B69" s="10" t="s">
        <v>409</v>
      </c>
      <c r="C69" s="2" t="s">
        <v>268</v>
      </c>
      <c r="D69" s="10" t="s">
        <v>410</v>
      </c>
      <c r="E69" s="11" t="e">
        <f>VLOOKUP(D69&amp;"*",工资表明细!D:BL,61,0)</f>
        <v>#N/A</v>
      </c>
      <c r="G69" s="11" t="e">
        <f>VLOOKUP(D69&amp;"*",工资表明细!D:AP,39,0)</f>
        <v>#N/A</v>
      </c>
      <c r="H69" s="11" t="e">
        <f>VLOOKUP(D69&amp;"*",工资表明细!D:AQ,40,0)</f>
        <v>#N/A</v>
      </c>
      <c r="I69" s="11" t="e">
        <f>VLOOKUP(D69&amp;"*",工资表明细!D:AR,41,0)</f>
        <v>#N/A</v>
      </c>
      <c r="J69" s="17" t="e">
        <f>VLOOKUP(D69&amp;"*",工资表明细!D:AT,43,0)</f>
        <v>#N/A</v>
      </c>
      <c r="AC69" s="18" t="e">
        <f t="shared" si="2"/>
        <v>#N/A</v>
      </c>
      <c r="AD69" s="18" t="e">
        <f>VLOOKUP(B69,工资表明细!C:AX,48,0)+VLOOKUP(B69,工资表明细!C:AU,45,0)</f>
        <v>#N/A</v>
      </c>
      <c r="AE69" s="18" t="e">
        <f t="shared" si="3"/>
        <v>#N/A</v>
      </c>
    </row>
    <row r="70" customHeight="1" spans="1:32">
      <c r="A70" s="13" t="s">
        <v>11</v>
      </c>
      <c r="B70" s="10" t="s">
        <v>411</v>
      </c>
      <c r="C70" s="2" t="s">
        <v>268</v>
      </c>
      <c r="D70" s="10" t="s">
        <v>412</v>
      </c>
      <c r="E70" s="11" t="e">
        <f>VLOOKUP(D70&amp;"*",工资表明细!D:BL,61,0)</f>
        <v>#N/A</v>
      </c>
      <c r="G70" s="11" t="e">
        <f>VLOOKUP(D70&amp;"*",工资表明细!D:AP,39,0)</f>
        <v>#N/A</v>
      </c>
      <c r="H70" s="11" t="e">
        <f>VLOOKUP(D70&amp;"*",工资表明细!D:AQ,40,0)</f>
        <v>#N/A</v>
      </c>
      <c r="I70" s="11" t="e">
        <f>VLOOKUP(D70&amp;"*",工资表明细!D:AR,41,0)</f>
        <v>#N/A</v>
      </c>
      <c r="J70" s="17" t="e">
        <f>VLOOKUP(D70&amp;"*",工资表明细!D:AT,43,0)</f>
        <v>#N/A</v>
      </c>
      <c r="AC70" s="18" t="e">
        <f t="shared" si="2"/>
        <v>#N/A</v>
      </c>
      <c r="AD70" s="18" t="e">
        <f>VLOOKUP(B70,工资表明细!C:AX,48,0)+VLOOKUP(B70,工资表明细!C:AU,45,0)</f>
        <v>#N/A</v>
      </c>
      <c r="AE70" s="18" t="e">
        <f t="shared" si="3"/>
        <v>#N/A</v>
      </c>
    </row>
    <row r="71" customHeight="1" spans="1:32">
      <c r="A71" s="13" t="s">
        <v>11</v>
      </c>
      <c r="B71" s="10" t="s">
        <v>373</v>
      </c>
      <c r="C71" s="2" t="s">
        <v>268</v>
      </c>
      <c r="D71" s="10" t="s">
        <v>374</v>
      </c>
      <c r="E71" s="11" t="e">
        <f>VLOOKUP(D71&amp;"*",工资表明细!D:BL,61,0)</f>
        <v>#N/A</v>
      </c>
      <c r="G71" s="11" t="e">
        <f>VLOOKUP(D71&amp;"*",工资表明细!D:AP,39,0)</f>
        <v>#N/A</v>
      </c>
      <c r="H71" s="11" t="e">
        <f>VLOOKUP(D71&amp;"*",工资表明细!D:AQ,40,0)</f>
        <v>#N/A</v>
      </c>
      <c r="I71" s="11" t="e">
        <f>VLOOKUP(D71&amp;"*",工资表明细!D:AR,41,0)</f>
        <v>#N/A</v>
      </c>
      <c r="J71" s="17" t="e">
        <f>VLOOKUP(D71&amp;"*",工资表明细!D:AT,43,0)</f>
        <v>#N/A</v>
      </c>
      <c r="AC71" s="18" t="e">
        <f t="shared" si="2"/>
        <v>#N/A</v>
      </c>
      <c r="AD71" s="18" t="e">
        <f>VLOOKUP(B71,工资表明细!C:AX,48,0)+VLOOKUP(B71,工资表明细!C:AU,45,0)</f>
        <v>#N/A</v>
      </c>
      <c r="AE71" s="18" t="e">
        <f t="shared" si="3"/>
        <v>#N/A</v>
      </c>
      <c r="AF71" s="13" t="s">
        <v>605</v>
      </c>
    </row>
    <row r="72" customHeight="1" spans="1:32">
      <c r="A72" s="13" t="s">
        <v>11</v>
      </c>
      <c r="B72" s="10" t="s">
        <v>413</v>
      </c>
      <c r="C72" s="2" t="s">
        <v>268</v>
      </c>
      <c r="D72" s="10" t="s">
        <v>414</v>
      </c>
      <c r="E72" s="11" t="e">
        <f>VLOOKUP(D72&amp;"*",工资表明细!D:BL,61,0)</f>
        <v>#N/A</v>
      </c>
      <c r="G72" s="11" t="e">
        <f>VLOOKUP(D72&amp;"*",工资表明细!D:AP,39,0)</f>
        <v>#N/A</v>
      </c>
      <c r="H72" s="11" t="e">
        <f>VLOOKUP(D72&amp;"*",工资表明细!D:AQ,40,0)</f>
        <v>#N/A</v>
      </c>
      <c r="I72" s="11" t="e">
        <f>VLOOKUP(D72&amp;"*",工资表明细!D:AR,41,0)</f>
        <v>#N/A</v>
      </c>
      <c r="J72" s="17" t="e">
        <f>VLOOKUP(D72&amp;"*",工资表明细!D:AT,43,0)</f>
        <v>#N/A</v>
      </c>
      <c r="AC72" s="18" t="e">
        <f t="shared" si="2"/>
        <v>#N/A</v>
      </c>
      <c r="AD72" s="18" t="e">
        <f>VLOOKUP(B72,工资表明细!C:AX,48,0)+VLOOKUP(B72,工资表明细!C:AU,45,0)</f>
        <v>#N/A</v>
      </c>
      <c r="AE72" s="18" t="e">
        <f t="shared" si="3"/>
        <v>#N/A</v>
      </c>
    </row>
  </sheetData>
  <dataValidations count="20">
    <dataValidation type="list" allowBlank="1" showInputMessage="1" showErrorMessage="1" sqref="C2:C65532">
      <formula1>证件类型</formula1>
    </dataValidation>
    <dataValidation type="decimal" operator="greaterThanOrEqual" allowBlank="1" showInputMessage="1" showErrorMessage="1" error="本期收入不能小于0" sqref="E1:E65532">
      <formula1>0</formula1>
    </dataValidation>
    <dataValidation type="decimal" operator="between" allowBlank="1" showInputMessage="1" showErrorMessage="1" error="不能小于0，且不能大于本期收入" sqref="F2:F65532">
      <formula1>0</formula1>
      <formula2>E2</formula2>
    </dataValidation>
    <dataValidation allowBlank="1" showInputMessage="1" showErrorMessage="1" prompt="累计专项附加扣除全部未填写时，系统将自动为您计算专项附加扣除额度" sqref="K2:K65532"/>
    <dataValidation type="decimal" operator="between" allowBlank="1" showInputMessage="1" showErrorMessage="1" error="不能小于0，且不能大于8400" prompt="累计专项附加扣除全部未填写时，系统将自动为您计算专项附加扣除额度" sqref="L2:L65532">
      <formula1>0</formula1>
      <formula2>8400</formula2>
    </dataValidation>
    <dataValidation type="decimal" operator="between" allowBlank="1" showInputMessage="1" showErrorMessage="1" error="不能小于0，且不能大于12000" prompt="累计专项附加扣除全部未填写时，系统将自动为您计算专项附加扣除额度" sqref="M2:M65532">
      <formula1>0</formula1>
      <formula2>12000</formula2>
    </dataValidation>
    <dataValidation type="decimal" operator="between" allowBlank="1" showInputMessage="1" showErrorMessage="1" error="不能小于0，且不能大于18000" prompt="累计专项附加扣除全部未填写时，系统将自动为您计算专项附加扣除额度" sqref="N2:N65532">
      <formula1>0</formula1>
      <formula2>18000</formula2>
    </dataValidation>
    <dataValidation type="decimal" operator="between" allowBlank="1" showInputMessage="1" showErrorMessage="1" error="不能小于0，且不能大于36000" prompt="累计专项附加扣除全部未填写时，系统将自动为您计算专项附加扣除额度" sqref="O2:O65532">
      <formula1>0</formula1>
      <formula2>36000</formula2>
    </dataValidation>
    <dataValidation allowBlank="1" showInputMessage="1" showErrorMessage="1" error="不能小于0，且不能大于36000" prompt="累计专项附加扣除全部未填写时，系统将自动为您计算专项附加扣除额度" sqref="P2:P65532"/>
    <dataValidation type="decimal" operator="between" allowBlank="1" showInputMessage="1" showErrorMessage="1" error="无需填写，系统将自动为您计算个人养老金扣除额度" prompt="无需填写，系统将自动为您计算个人养老金扣除额度" sqref="Q2:Q65532">
      <formula1>0</formula1>
      <formula2>0</formula2>
    </dataValidation>
    <dataValidation type="decimal" operator="between" allowBlank="1" showInputMessage="1" showErrorMessage="1" error="不能小于0，且不能大于本期收入" sqref="R2:R65532">
      <formula1>0</formula1>
      <formula2>E2</formula2>
    </dataValidation>
    <dataValidation allowBlank="1" showInputMessage="1" showErrorMessage="1" prompt="自2024年1月属期起，不支持填报；之前属期仅试点地区可填报" sqref="T2:T65532"/>
    <dataValidation allowBlank="1" showInputMessage="1" showErrorMessage="1" prompt="自2026年1月属期起，支持律师事务所填报" sqref="W2:W65532"/>
    <dataValidation allowBlank="1" showInputMessage="1" showErrorMessage="1" prompt="自2026年1月属期起，支持西藏地区填报" sqref="X2:X65532"/>
    <dataValidation type="decimal" operator="between" allowBlank="1" showInputMessage="1" showErrorMessage="1" error="不能小于0，且不能大于本期收入" prompt="自2026年1月属期起，不支持填报" sqref="Y2:Y65532">
      <formula1>0</formula1>
      <formula2>E2</formula2>
    </dataValidation>
    <dataValidation type="decimal" operator="between" allowBlank="1" showInputMessage="1" showErrorMessage="1" error="不能小于0，且不能大于本期收入" sqref="Z2:Z65532">
      <formula1>0</formula1>
      <formula2>E2</formula2>
    </dataValidation>
    <dataValidation type="decimal" operator="between" allowBlank="1" showInputMessage="1" showErrorMessage="1" error="不能小于0，且不能大于本期收入" sqref="AA1:AA65532">
      <formula1>0</formula1>
      <formula2>E1</formula2>
    </dataValidation>
    <dataValidation allowBlank="1" showInputMessage="1" showErrorMessage="1" prompt="【其他】大于0时，备注需写明具体扣除项目的名称" sqref="AB1:AB65532"/>
    <dataValidation type="decimal" operator="greaterThanOrEqual" allowBlank="1" showInputMessage="1" showErrorMessage="1" error="不能小于0" sqref="G1:J65532">
      <formula1>0</formula1>
    </dataValidation>
    <dataValidation allowBlank="1" showInputMessage="1" showErrorMessage="1" prompt="自2026年1月属期起，支持填报" sqref="U2:V65532"/>
  </dataValidations>
  <pageMargins left="0.75" right="0.75" top="1" bottom="1" header="0.5" footer="0.5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M4"/>
  <sheetViews>
    <sheetView workbookViewId="0">
      <selection activeCell="F2" sqref="F2:F4"/>
    </sheetView>
  </sheetViews>
  <sheetFormatPr defaultColWidth="9" defaultRowHeight="22.5" customHeight="1" outlineLevelRow="3"/>
  <cols>
    <col min="1" max="1" width="9" style="2"/>
    <col min="2" max="2" width="12.4159292035398" style="2" customWidth="1"/>
    <col min="3" max="3" width="18.5840707964602" style="2" customWidth="1"/>
    <col min="4" max="5" width="20.2477876106195" style="2" customWidth="1"/>
    <col min="6" max="6" width="12.5840707964602" style="3" customWidth="1"/>
    <col min="7" max="7" width="13.9203539823009" style="3" customWidth="1"/>
    <col min="8" max="8" width="15.7522123893805" style="3" customWidth="1"/>
    <col min="9" max="9" width="15.5044247787611" style="3" customWidth="1"/>
    <col min="10" max="10" width="11" style="3" customWidth="1"/>
    <col min="11" max="11" width="17.7522123893805" style="3" customWidth="1"/>
    <col min="12" max="12" width="13.4159292035398" style="3" customWidth="1"/>
    <col min="13" max="13" width="14" style="2" customWidth="1"/>
    <col min="14" max="16384" width="9" style="1"/>
  </cols>
  <sheetData>
    <row r="1" s="1" customFormat="1" customHeight="1" spans="1:13">
      <c r="A1" s="4" t="s">
        <v>42</v>
      </c>
      <c r="B1" s="5" t="s">
        <v>545</v>
      </c>
      <c r="C1" s="6" t="s">
        <v>546</v>
      </c>
      <c r="D1" s="6" t="s">
        <v>547</v>
      </c>
      <c r="E1" s="6" t="s">
        <v>606</v>
      </c>
      <c r="F1" s="7" t="s">
        <v>607</v>
      </c>
      <c r="G1" s="8" t="s">
        <v>239</v>
      </c>
      <c r="H1" s="8" t="s">
        <v>245</v>
      </c>
      <c r="I1" s="8" t="s">
        <v>246</v>
      </c>
      <c r="J1" s="8" t="s">
        <v>257</v>
      </c>
      <c r="K1" s="8" t="s">
        <v>248</v>
      </c>
      <c r="L1" s="8" t="s">
        <v>234</v>
      </c>
      <c r="M1" s="4" t="s">
        <v>40</v>
      </c>
    </row>
    <row r="2" customHeight="1" spans="1:13">
      <c r="A2" s="1" t="e">
        <f>VLOOKUP(D2&amp;"*",花名册!B:D,3,0)</f>
        <v>#N/A</v>
      </c>
      <c r="B2" s="2" t="s">
        <v>415</v>
      </c>
      <c r="C2" s="2" t="s">
        <v>268</v>
      </c>
      <c r="D2" s="2" t="s">
        <v>416</v>
      </c>
      <c r="F2" s="3" t="e">
        <f>VLOOKUP(D2&amp;"*",工资表明细!D:BJ,59,0)</f>
        <v>#N/A</v>
      </c>
    </row>
    <row r="3" customHeight="1" spans="1:13">
      <c r="A3" s="1" t="e">
        <f>VLOOKUP(D3&amp;"*",花名册!B:D,3,0)</f>
        <v>#N/A</v>
      </c>
      <c r="B3" s="2" t="s">
        <v>418</v>
      </c>
      <c r="C3" s="2" t="s">
        <v>268</v>
      </c>
      <c r="D3" s="2" t="s">
        <v>419</v>
      </c>
      <c r="F3" s="3" t="e">
        <f>VLOOKUP(D3&amp;"*",工资表明细!D:BJ,59,0)</f>
        <v>#N/A</v>
      </c>
    </row>
    <row r="4" customHeight="1" spans="1:13">
      <c r="A4" s="1" t="e">
        <f>VLOOKUP(D4&amp;"*",花名册!B:D,3,0)</f>
        <v>#N/A</v>
      </c>
      <c r="B4" s="2" t="s">
        <v>420</v>
      </c>
      <c r="C4" s="2" t="s">
        <v>268</v>
      </c>
      <c r="D4" s="2" t="s">
        <v>421</v>
      </c>
      <c r="F4" s="3" t="e">
        <f>VLOOKUP(D4&amp;"*",工资表明细!D:BJ,59,0)</f>
        <v>#N/A</v>
      </c>
    </row>
  </sheetData>
  <dataValidations count="10">
    <dataValidation type="decimal" operator="greaterThan" allowBlank="1" showInputMessage="1" showErrorMessage="1" error="收入必须大于0" sqref="F1 F5:F65466">
      <formula1>0</formula1>
    </dataValidation>
    <dataValidation type="list" allowBlank="1" showInputMessage="1" showErrorMessage="1" sqref="C2:C65466">
      <formula1>证件类型</formula1>
    </dataValidation>
    <dataValidation type="list" allowBlank="1" showInputMessage="1" showErrorMessage="1" sqref="E2:E65466">
      <formula1>所得项目</formula1>
    </dataValidation>
    <dataValidation type="decimal" operator="between" allowBlank="1" showInputMessage="1" showErrorMessage="1" error="不能小于0，且不能大于收入" sqref="G1:G65466">
      <formula1>0</formula1>
      <formula2>F1</formula2>
    </dataValidation>
    <dataValidation type="decimal" operator="greaterThanOrEqual" allowBlank="1" showInputMessage="1" showErrorMessage="1" sqref="H2:H65466">
      <formula1>0</formula1>
    </dataValidation>
    <dataValidation type="decimal" operator="greaterThanOrEqual" allowBlank="1" showInputMessage="1" showErrorMessage="1" prompt="自2024年1月属期起，不支持填报；之前属期仅试点地区可填报" sqref="I2:I65466">
      <formula1>0</formula1>
    </dataValidation>
    <dataValidation type="decimal" operator="between" allowBlank="1" showInputMessage="1" showErrorMessage="1" error="不能小于0，且不能大于收入" sqref="J1:J65466">
      <formula1>0</formula1>
      <formula2>F1</formula2>
    </dataValidation>
    <dataValidation type="decimal" operator="between" allowBlank="1" showInputMessage="1" showErrorMessage="1" error="不能小于0，且不能大于收入" sqref="K1:K65466">
      <formula1>0</formula1>
      <formula2>F1</formula2>
    </dataValidation>
    <dataValidation type="decimal" operator="between" allowBlank="1" showInputMessage="1" showErrorMessage="1" error="不能小于0，且不能大于收入" sqref="L1:L65466">
      <formula1>0</formula1>
      <formula2>F1</formula2>
    </dataValidation>
    <dataValidation allowBlank="1" showInputMessage="1" showErrorMessage="1" promptTitle="提示" prompt="填写【其他】时，需写明具体扣除项目的名称" sqref="M2:M65466"/>
  </dataValidation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J1"/>
  <sheetViews>
    <sheetView workbookViewId="0">
      <selection activeCell="F26" sqref="F26"/>
    </sheetView>
  </sheetViews>
  <sheetFormatPr defaultColWidth="9" defaultRowHeight="22.5" customHeight="1"/>
  <cols>
    <col min="1" max="1" width="9" style="2"/>
    <col min="2" max="2" width="12.3362831858407" style="2" customWidth="1"/>
    <col min="3" max="3" width="23.2477876106195" style="2" customWidth="1"/>
    <col min="4" max="4" width="20.2477876106195" style="2" customWidth="1"/>
    <col min="5" max="5" width="18.5840707964602" style="3" customWidth="1"/>
    <col min="6" max="6" width="13.8318584070796" style="3" customWidth="1"/>
    <col min="7" max="7" width="11.5840707964602" style="3"/>
    <col min="8" max="8" width="18.0796460176991" style="3" customWidth="1"/>
    <col min="9" max="9" width="11.5840707964602" style="3"/>
    <col min="10" max="10" width="19.5840707964602" style="2" customWidth="1"/>
    <col min="11" max="16384" width="9" style="1"/>
  </cols>
  <sheetData>
    <row r="1" s="1" customFormat="1" customHeight="1" spans="1:10">
      <c r="A1" s="4" t="s">
        <v>42</v>
      </c>
      <c r="B1" s="5" t="s">
        <v>545</v>
      </c>
      <c r="C1" s="6" t="s">
        <v>546</v>
      </c>
      <c r="D1" s="6" t="s">
        <v>547</v>
      </c>
      <c r="E1" s="7" t="s">
        <v>608</v>
      </c>
      <c r="F1" s="8" t="s">
        <v>239</v>
      </c>
      <c r="G1" s="8" t="s">
        <v>257</v>
      </c>
      <c r="H1" s="8" t="s">
        <v>218</v>
      </c>
      <c r="I1" s="8" t="s">
        <v>234</v>
      </c>
      <c r="J1" s="4" t="s">
        <v>40</v>
      </c>
    </row>
  </sheetData>
  <dataValidations count="4">
    <dataValidation type="list" allowBlank="1" showInputMessage="1" showErrorMessage="1" sqref="C2:C65463">
      <formula1>证件类型</formula1>
    </dataValidation>
    <dataValidation type="decimal" operator="greaterThan" allowBlank="1" showInputMessage="1" showErrorMessage="1" error=" 收入必须大于0" sqref="E1:E65463">
      <formula1>0</formula1>
    </dataValidation>
    <dataValidation allowBlank="1" showInputMessage="1" showErrorMessage="1" promptTitle="提示" prompt="填写【其他】时，需写明具体扣除项目的名称" sqref="J2:J65463"/>
    <dataValidation type="decimal" operator="between" allowBlank="1" showInputMessage="1" showErrorMessage="1" error="不能小于0，且不能大于收入" sqref="F1:I65463">
      <formula1>0</formula1>
      <formula2>$E1</formula2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allowEditUser xmlns="https://web.wps.cn/et/2018/main" xmlns:s="http://schemas.openxmlformats.org/spreadsheetml/2006/main" hasInvisiblePropRange="0">
  <rangeList sheetStid="58" master="" otherUserPermission="visible"/>
  <rangeList sheetStid="68" master="" otherUserPermission="visible"/>
  <rangeList sheetStid="85" master="" otherUserPermission="visible"/>
  <rangeList sheetStid="86" master="" otherUserPermission="visible"/>
  <rangeList sheetStid="64" master="" otherUserPermission="visible"/>
  <rangeList sheetStid="48" master="" otherUserPermission="visible"/>
  <rangeList sheetStid="54" master="" otherUserPermission="visible"/>
  <rangeList sheetStid="108" master="" otherUserPermission="visible"/>
  <rangeList sheetStid="100" master="" otherUserPermission="visible"/>
  <rangeList sheetStid="109" master="" otherUserPermission="visible"/>
  <rangeList sheetStid="101" master="" otherUserPermission="visible"/>
  <rangeList sheetStid="99" master="" otherUserPermission="visible"/>
  <rangeList sheetStid="102" master="" otherUserPermission="visible"/>
  <rangeList sheetStid="103" master="" otherUserPermission="visible"/>
  <rangeList sheetStid="104" master="" otherUserPermission="visible"/>
  <rangeList sheetStid="92" master="" otherUserPermission="visible"/>
  <rangeList sheetStid="105" master="" otherUserPermission="visible"/>
  <rangeList sheetStid="106" master="" otherUserPermission="visible"/>
  <rangeList sheetStid="107" master="" otherUserPermission="visible">
    <arrUserId title="区域1_3" rangeCreator="" othersAccessPermission="edit"/>
    <arrUserId title="区域1_4" rangeCreator="" othersAccessPermission="edit"/>
    <arrUserId title="区域1_4_1" rangeCreator="" othersAccessPermission="edit"/>
    <arrUserId title="区域1_4_2" rangeCreator="" othersAccessPermission="edit"/>
  </rangeList>
  <rangeList sheetStid="87" master="" otherUserPermission="visible"/>
  <rangeList sheetStid="88" master="" otherUserPermission="visible"/>
  <rangeList sheetStid="89" master="" otherUserPermission="visible"/>
  <rangeList sheetStid="90" master="" otherUserPermission="visible"/>
</allowEditUser>
</file>

<file path=customXml/item2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汇总</vt:lpstr>
      <vt:lpstr>工资表明细</vt:lpstr>
      <vt:lpstr>考勤表</vt:lpstr>
      <vt:lpstr>增减项异动表</vt:lpstr>
      <vt:lpstr>花名册</vt:lpstr>
      <vt:lpstr>社保公积金明细</vt:lpstr>
      <vt:lpstr>最低工资标准</vt:lpstr>
      <vt:lpstr>工资条</vt:lpstr>
      <vt:lpstr>个税计算</vt:lpstr>
      <vt:lpstr>研发工时表</vt:lpstr>
      <vt:lpstr>个税上月累计情况</vt:lpstr>
      <vt:lpstr>法定假日列表</vt:lpstr>
      <vt:lpstr>导入模版（北分）</vt:lpstr>
      <vt:lpstr>导入模版（北京）</vt:lpstr>
      <vt:lpstr>导入模版（成都）</vt:lpstr>
      <vt:lpstr>导入模版（杭州）</vt:lpstr>
      <vt:lpstr>导入模版（深圳）</vt:lpstr>
      <vt:lpstr>导入模版（武汉）</vt:lpstr>
      <vt:lpstr>导入模版（中汽）</vt:lpstr>
      <vt:lpstr>报税-人员信息采集表</vt:lpstr>
      <vt:lpstr>报税-正常工资</vt:lpstr>
      <vt:lpstr>报税-劳务</vt:lpstr>
      <vt:lpstr>报税-经济补偿金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可乐要加冰</cp:lastModifiedBy>
  <dcterms:created xsi:type="dcterms:W3CDTF">2006-09-16T00:00:00Z</dcterms:created>
  <cp:lastPrinted>2023-12-12T06:28:00Z</cp:lastPrinted>
  <dcterms:modified xsi:type="dcterms:W3CDTF">2026-09-05T08:37:22Z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DBDC841B0F6B4310A32A35CC1659E075_13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