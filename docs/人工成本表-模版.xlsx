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六棱镜\交接文件\陈鑫鑫交接文件\人力成本\"/>
    </mc:Choice>
  </mc:AlternateContent>
  <bookViews>
    <workbookView windowWidth="21600" windowHeight="10455" activeTab="5"/>
  </bookViews>
  <sheets>
    <sheet name="北分人力成本" sheetId="1" r:id="rId1"/>
    <sheet name="北京人力成本" sheetId="2" state="hidden" r:id="rId2"/>
    <sheet name="成都人力成本" sheetId="3" r:id="rId3"/>
    <sheet name="杭州人力成本" sheetId="4" r:id="rId4"/>
    <sheet name="广东人力成本" sheetId="5" r:id="rId5"/>
    <sheet name="武汉人力成本" sheetId="6" r:id="rId6"/>
    <sheet name="中汽人力成本" sheetId="7" state="hidden" r:id="rId7"/>
    <sheet name="工资明细" sheetId="9" r:id="rId8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7" hidden="1">工资明细!$A$3:$BP$5</definedName>
    <definedName name="是否">[1]选项!$A$1:$A$2</definedName>
    <definedName name="Hidden000cdfc206468fca52c_1_11">[2]Hidden000cdfc206468fca52c!$A$1:$A$71</definedName>
    <definedName name="Hidden000cdfc206468fca52c_1_17">[2]Hidden000cdfc206468fca52c!$B$1:$B$7</definedName>
    <definedName name="Hidden000cdfc206468fca52c_1_22">[2]Hidden000cdfc206468fca52c!$C$1:$C$7</definedName>
    <definedName name="Hidden000cdfc206468fca52c_1_23">[2]Hidden000cdfc206468fca52c!$D$1:$D$2</definedName>
    <definedName name="Hidden000cdfc206468fca52c_1_24">[2]Hidden000cdfc206468fca52c!$E$1:$E$8</definedName>
    <definedName name="Hidden000cdfc206468fca52c_1_27">[2]Hidden000cdfc206468fca52c!$F$1:$F$10</definedName>
    <definedName name="Hidden000cdfc206468fca52c_1_32">[2]Hidden000cdfc206468fca52c!$G$1:$G$2</definedName>
    <definedName name="Hidden000cdfc206468fca52c_1_33">[2]Hidden000cdfc206468fca52c!$H$1:$H$5</definedName>
    <definedName name="Hidden000cdfc206468fca52c_1_34">[2]Hidden000cdfc206468fca52c!$I$1:$I$5</definedName>
    <definedName name="Hidden000cdfc206468fca52c_1_35">[2]Hidden000cdfc206468fca52c!$J$1:$J$58</definedName>
    <definedName name="Hidden000cdfc206468fca52c_1_43">[2]Hidden000cdfc206468fca52c!$K$1:$K$9</definedName>
    <definedName name="Hidden000cdfc206468fca52c_1_44">[2]Hidden000cdfc206468fca52c!$L$1:$L$4</definedName>
    <definedName name="Hidden000cdfc206468fca52c_1_56">[2]Hidden000cdfc206468fca52c!$M$1:$M$8</definedName>
    <definedName name="Hidden000cdfc206468fca52c_1_57">[2]Hidden000cdfc206468fca52c!$N$1:$N$7</definedName>
    <definedName name="Hidden000cdfc206468fca52c_1_58">[2]Hidden000cdfc206468fca52c!$O$1:$O$8</definedName>
    <definedName name="Hidden000cdfc206468fca52c_1_63">[2]Hidden000cdfc206468fca52c!$P$1:$P$5</definedName>
    <definedName name="Hidden000cdfc206468fca52c_1_67">[2]Hidden000cdfc206468fca52c!$Q$1:$Q$6</definedName>
    <definedName name="Hidden000cdfc206468fca52c_1_70">[2]Hidden000cdfc206468fca52c!$R$1:$R$6</definedName>
    <definedName name="Hidden000cdfc206468fca52c_1_71">[2]Hidden000cdfc206468fca52c!$S$1:$S$2</definedName>
    <definedName name="categoryHidden33">[3]categoryHidden33!A1:A170</definedName>
    <definedName name="categoryHidden9">#REF!</definedName>
    <definedName name="证件类型">[4]填表说明!$A$6:$A$17</definedName>
    <definedName name="_xlnm._FilterDatabase" localSheetId="0" hidden="1">北分人力成本!$A$29:$A$43</definedName>
    <definedName name="_xlnm._FilterDatabase" localSheetId="1" hidden="1">北京人力成本!$A$8:$A$11</definedName>
    <definedName name="_xlnm._FilterDatabase" localSheetId="3" hidden="1">杭州人力成本!$A$33:$A$42</definedName>
    <definedName name="_xlnm._FilterDatabase" localSheetId="6" hidden="1">中汽人力成本!$A$7:$A$9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<sst xmlns="http://schemas.openxmlformats.org/spreadsheetml/2006/main" count="777" uniqueCount="144">
  <si>
    <t>日期：</t>
  </si>
  <si>
    <t>公司名称：</t>
  </si>
  <si>
    <t>六棱镜（杭州）科技有限公司北京分公司</t>
  </si>
  <si>
    <t>员工工资及代扣代缴费用汇总表</t>
  </si>
  <si>
    <t>一级部门</t>
  </si>
  <si>
    <t>二级部门</t>
  </si>
  <si>
    <t>三级部门</t>
  </si>
  <si>
    <t>人数</t>
  </si>
  <si>
    <t>应发工资</t>
  </si>
  <si>
    <t>养老个人</t>
  </si>
  <si>
    <t>医疗个人</t>
  </si>
  <si>
    <t>失业个人</t>
  </si>
  <si>
    <t>社保个人扣款</t>
  </si>
  <si>
    <t>住房公积金</t>
  </si>
  <si>
    <t>个税</t>
  </si>
  <si>
    <t>税后补款</t>
  </si>
  <si>
    <t>税后扣款</t>
  </si>
  <si>
    <t>实发工资</t>
  </si>
  <si>
    <t>金额</t>
  </si>
  <si>
    <t>姜文超</t>
  </si>
  <si>
    <t>郭子轶</t>
  </si>
  <si>
    <t>董事会办公室</t>
  </si>
  <si>
    <t>法务部</t>
  </si>
  <si>
    <t>总经理办公室</t>
  </si>
  <si>
    <t>人力资源部</t>
  </si>
  <si>
    <t>综合部</t>
  </si>
  <si>
    <t>北京综合部</t>
  </si>
  <si>
    <t>杭州综合部</t>
  </si>
  <si>
    <t>解决方案中心</t>
  </si>
  <si>
    <t>市场部</t>
  </si>
  <si>
    <t>SaaS中心</t>
  </si>
  <si>
    <t>客服中心</t>
  </si>
  <si>
    <t>战略规划部</t>
  </si>
  <si>
    <t>北京总部</t>
  </si>
  <si>
    <t>技术研发事业部</t>
  </si>
  <si>
    <t>产品研发部</t>
  </si>
  <si>
    <t>产品组</t>
  </si>
  <si>
    <t>项目组</t>
  </si>
  <si>
    <t>大数据部</t>
  </si>
  <si>
    <t>数据采集组</t>
  </si>
  <si>
    <t>数据仓库组</t>
  </si>
  <si>
    <t>数据规则组</t>
  </si>
  <si>
    <t>数据平台组</t>
  </si>
  <si>
    <t>架构与算法部</t>
  </si>
  <si>
    <t>知识产权咨询事业部</t>
  </si>
  <si>
    <t>招投标部</t>
  </si>
  <si>
    <t>其他</t>
  </si>
  <si>
    <t>合计</t>
  </si>
  <si>
    <t>公积金缴纳汇总表</t>
  </si>
  <si>
    <t>企业缴纳</t>
  </si>
  <si>
    <t>个人缴纳</t>
  </si>
  <si>
    <t>社保缴纳汇总表</t>
  </si>
  <si>
    <t>养老单位</t>
  </si>
  <si>
    <t>医疗单位</t>
  </si>
  <si>
    <t>失业单位</t>
  </si>
  <si>
    <t>工伤单位</t>
  </si>
  <si>
    <t>生育单位</t>
  </si>
  <si>
    <t>企业部分</t>
  </si>
  <si>
    <t>个人部分</t>
  </si>
  <si>
    <t>北京六棱镜数字科技发展有限公司</t>
  </si>
  <si>
    <t>成都六棱镜数字科技有限公司</t>
  </si>
  <si>
    <t>市场推广部</t>
  </si>
  <si>
    <t>成都区域</t>
  </si>
  <si>
    <t>六棱镜（杭州）科技有限公司</t>
  </si>
  <si>
    <t>刘洋</t>
  </si>
  <si>
    <t>耿德强</t>
  </si>
  <si>
    <t>财务部</t>
  </si>
  <si>
    <t>杭州区域</t>
  </si>
  <si>
    <t>泉州区域</t>
  </si>
  <si>
    <t>广东六棱镜数字科技发展有限公司</t>
  </si>
  <si>
    <t>深圳综合部</t>
  </si>
  <si>
    <t>深圳区域</t>
  </si>
  <si>
    <t>中城六棱镜（武汉）科技有限公司</t>
  </si>
  <si>
    <t>武汉区域</t>
  </si>
  <si>
    <t>中汽知识产权投资运营中心（北京）有限公司</t>
  </si>
  <si>
    <t>工商单位</t>
  </si>
  <si>
    <t>工资表</t>
  </si>
  <si>
    <t>序号</t>
  </si>
  <si>
    <t>员工信息</t>
  </si>
  <si>
    <t>年薪（万元）</t>
  </si>
  <si>
    <t>当月薪资标准</t>
  </si>
  <si>
    <t>固定薪资</t>
  </si>
  <si>
    <t>绩效薪资</t>
  </si>
  <si>
    <t>业绩提成奖</t>
  </si>
  <si>
    <t>其他增减项</t>
  </si>
  <si>
    <t>本月应发工资合计</t>
  </si>
  <si>
    <t>代扣代缴</t>
  </si>
  <si>
    <t>社保公积金公司承担部分</t>
  </si>
  <si>
    <t>人工成本</t>
  </si>
  <si>
    <t>备注</t>
  </si>
  <si>
    <t>报税</t>
  </si>
  <si>
    <t>公司</t>
  </si>
  <si>
    <t>银行卡号</t>
  </si>
  <si>
    <t>开户行</t>
  </si>
  <si>
    <t>主体简称</t>
  </si>
  <si>
    <t>姓名</t>
  </si>
  <si>
    <t>身份证号</t>
  </si>
  <si>
    <t>入职日期</t>
  </si>
  <si>
    <t>转正日期</t>
  </si>
  <si>
    <t>离职日期</t>
  </si>
  <si>
    <t>职务</t>
  </si>
  <si>
    <t>劳动合同类型</t>
  </si>
  <si>
    <t>职级</t>
  </si>
  <si>
    <t>当月固定薪资标准</t>
  </si>
  <si>
    <t>迟到早退
扣款</t>
  </si>
  <si>
    <t>缺卡扣款</t>
  </si>
  <si>
    <t>事假扣款</t>
  </si>
  <si>
    <t>病假
扣款</t>
  </si>
  <si>
    <t>旷工
扣款</t>
  </si>
  <si>
    <t>产假扣款</t>
  </si>
  <si>
    <t>当月未出勤（入离职）</t>
  </si>
  <si>
    <t>考勤扣款合计</t>
  </si>
  <si>
    <t>考勤激励</t>
  </si>
  <si>
    <t>工资增项</t>
  </si>
  <si>
    <t>工资减项</t>
  </si>
  <si>
    <t>应发固定工资</t>
  </si>
  <si>
    <t>当月绩效标准</t>
  </si>
  <si>
    <t>绩效
系数</t>
  </si>
  <si>
    <t>本月工作日天数</t>
  </si>
  <si>
    <t>实际出勤天数</t>
  </si>
  <si>
    <t>绩效增项</t>
  </si>
  <si>
    <t>绩效减项</t>
  </si>
  <si>
    <t>绩效工资
支付方式</t>
  </si>
  <si>
    <t>应发绩效工资</t>
  </si>
  <si>
    <t>经济补偿金</t>
  </si>
  <si>
    <t>其他增项</t>
  </si>
  <si>
    <t>其他减项</t>
  </si>
  <si>
    <t>养老扣款
个人</t>
  </si>
  <si>
    <t>医疗扣款
个人</t>
  </si>
  <si>
    <t>失业扣款
个人</t>
  </si>
  <si>
    <t>社保扣款
个人合计</t>
  </si>
  <si>
    <t>公积金扣款
个人</t>
  </si>
  <si>
    <t>养老扣款
（单位）</t>
  </si>
  <si>
    <t>医疗扣款
（单位）</t>
  </si>
  <si>
    <t>失业扣款
（单位）</t>
  </si>
  <si>
    <t>工伤扣款
（单位）</t>
  </si>
  <si>
    <t>生育保险（单位）</t>
  </si>
  <si>
    <t>公司社保合计</t>
  </si>
  <si>
    <t>住房公积金扣款（单位）</t>
  </si>
  <si>
    <t>年终一次性奖申报</t>
  </si>
  <si>
    <t>劳务申报</t>
  </si>
  <si>
    <t>调整报税金额</t>
  </si>
  <si>
    <t>正常工资申报</t>
  </si>
  <si>
    <t>开户行（存疑）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</si>
</sst>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;@"/>
    <numFmt numFmtId="178" formatCode="_ * #,##0_ ;_ * \-#,##0_ ;_ 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</font>
    <font>
      <sz val="9"/>
      <name val="宋体"/>
      <charset val="134"/>
    </font>
    <font>
      <b/>
      <sz val="9"/>
      <color rgb="FFFF0000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33" applyNumberFormat="0" applyAlignment="0" applyProtection="0">
      <alignment vertical="center"/>
    </xf>
    <xf numFmtId="0" fontId="21" fillId="7" borderId="34" applyNumberFormat="0" applyAlignment="0" applyProtection="0">
      <alignment vertical="center"/>
    </xf>
    <xf numFmtId="0" fontId="22" fillId="7" borderId="33" applyNumberFormat="0" applyAlignment="0" applyProtection="0">
      <alignment vertical="center"/>
    </xf>
    <xf numFmtId="0" fontId="23" fillId="8" borderId="35" applyNumberFormat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176" fontId="2" fillId="0" borderId="0"/>
    <xf numFmtId="43" fontId="2" fillId="0" borderId="0" applyFont="0" applyFill="0" applyBorder="0" applyAlignment="0" applyProtection="0"/>
  </cellStyleXfs>
  <cellXfs count="125">
    <xf numFmtId="176" fontId="0" fillId="0" borderId="0" xfId="0"/>
    <xf numFmtId="0" fontId="1" fillId="0" borderId="0" xfId="0" applyNumberFormat="1" applyFont="1" applyFill="1"/>
    <xf numFmtId="176" fontId="2" fillId="0" borderId="0" xfId="0" applyFont="1" applyFill="1" applyAlignment="1">
      <alignment horizontal="center"/>
    </xf>
    <xf numFmtId="176" fontId="0" fillId="0" borderId="0" xfId="0" applyFill="1"/>
    <xf numFmtId="0" fontId="0" fillId="0" borderId="0" xfId="0" applyNumberFormat="1"/>
    <xf numFmtId="49" fontId="0" fillId="0" borderId="0" xfId="0" applyNumberFormat="1"/>
    <xf numFmtId="0" fontId="0" fillId="0" borderId="0" xfId="0" applyNumberFormat="1" applyAlignment="1">
      <alignment horizontal="center"/>
    </xf>
    <xf numFmtId="177" fontId="3" fillId="2" borderId="0" xfId="49" applyNumberFormat="1" applyFont="1" applyFill="1" applyBorder="1" applyAlignment="1">
      <alignment horizontal="right" vertical="center" wrapText="1" shrinkToFit="1"/>
    </xf>
    <xf numFmtId="176" fontId="3" fillId="2" borderId="0" xfId="49" applyFont="1" applyFill="1" applyBorder="1" applyAlignment="1">
      <alignment horizontal="left" vertical="center" wrapText="1" shrinkToFit="1"/>
    </xf>
    <xf numFmtId="176" fontId="3" fillId="2" borderId="1" xfId="49" applyFont="1" applyFill="1" applyBorder="1" applyAlignment="1">
      <alignment horizontal="left" vertical="center" wrapText="1" shrinkToFit="1"/>
    </xf>
    <xf numFmtId="176" fontId="3" fillId="2" borderId="0" xfId="49" applyFont="1" applyFill="1" applyAlignment="1">
      <alignment horizontal="left" vertical="center" wrapText="1" shrinkToFit="1"/>
    </xf>
    <xf numFmtId="0" fontId="1" fillId="0" borderId="0" xfId="0" applyNumberFormat="1" applyFont="1"/>
    <xf numFmtId="176" fontId="4" fillId="2" borderId="2" xfId="49" applyFont="1" applyFill="1" applyBorder="1" applyAlignment="1">
      <alignment horizontal="center" vertical="center" wrapText="1" shrinkToFit="1"/>
    </xf>
    <xf numFmtId="176" fontId="4" fillId="2" borderId="3" xfId="49" applyFont="1" applyFill="1" applyBorder="1" applyAlignment="1">
      <alignment horizontal="center" vertical="center" wrapText="1" shrinkToFit="1"/>
    </xf>
    <xf numFmtId="176" fontId="4" fillId="2" borderId="4" xfId="49" applyFont="1" applyFill="1" applyBorder="1" applyAlignment="1">
      <alignment horizontal="center" vertical="center" wrapText="1" shrinkToFit="1"/>
    </xf>
    <xf numFmtId="176" fontId="4" fillId="2" borderId="5" xfId="49" applyFont="1" applyFill="1" applyBorder="1" applyAlignment="1">
      <alignment horizontal="center" vertical="center" wrapText="1" shrinkToFit="1"/>
    </xf>
    <xf numFmtId="43" fontId="5" fillId="2" borderId="2" xfId="1" applyFont="1" applyFill="1" applyBorder="1" applyAlignment="1">
      <alignment horizontal="center" vertical="center" wrapText="1"/>
    </xf>
    <xf numFmtId="43" fontId="5" fillId="3" borderId="2" xfId="1" applyFont="1" applyFill="1" applyBorder="1" applyAlignment="1">
      <alignment horizontal="center" vertical="center" wrapText="1"/>
    </xf>
    <xf numFmtId="43" fontId="5" fillId="0" borderId="2" xfId="1" applyFont="1" applyFill="1" applyBorder="1" applyAlignment="1">
      <alignment horizontal="center" vertical="center" wrapText="1"/>
    </xf>
    <xf numFmtId="43" fontId="5" fillId="2" borderId="5" xfId="1" applyFont="1" applyFill="1" applyBorder="1" applyAlignment="1">
      <alignment horizontal="center" vertical="center" wrapText="1"/>
    </xf>
    <xf numFmtId="176" fontId="4" fillId="0" borderId="5" xfId="49" applyFont="1" applyFill="1" applyBorder="1" applyAlignment="1">
      <alignment horizontal="center" vertical="center" wrapText="1" shrinkToFit="1"/>
    </xf>
    <xf numFmtId="0" fontId="4" fillId="0" borderId="2" xfId="49" applyNumberFormat="1" applyFont="1" applyFill="1" applyBorder="1" applyAlignment="1">
      <alignment horizontal="center" vertical="center" wrapText="1" shrinkToFit="1"/>
    </xf>
    <xf numFmtId="176" fontId="4" fillId="0" borderId="2" xfId="49" applyFont="1" applyFill="1" applyBorder="1" applyAlignment="1">
      <alignment horizontal="center" vertical="center" wrapText="1" shrinkToFit="1"/>
    </xf>
    <xf numFmtId="49" fontId="4" fillId="2" borderId="2" xfId="49" applyNumberFormat="1" applyFont="1" applyFill="1" applyBorder="1" applyAlignment="1">
      <alignment horizontal="center" vertical="center" wrapText="1" shrinkToFit="1"/>
    </xf>
    <xf numFmtId="176" fontId="6" fillId="2" borderId="2" xfId="49" applyFont="1" applyFill="1" applyBorder="1" applyAlignment="1">
      <alignment horizontal="center" vertical="center" wrapText="1" shrinkToFit="1"/>
    </xf>
    <xf numFmtId="176" fontId="7" fillId="2" borderId="2" xfId="49" applyFont="1" applyFill="1" applyBorder="1" applyAlignment="1">
      <alignment horizontal="center" vertical="center" wrapText="1" shrinkToFit="1"/>
    </xf>
    <xf numFmtId="0" fontId="6" fillId="2" borderId="2" xfId="49" applyNumberFormat="1" applyFont="1" applyFill="1" applyBorder="1" applyAlignment="1">
      <alignment horizontal="center" vertical="center" wrapText="1" shrinkToFit="1"/>
    </xf>
    <xf numFmtId="43" fontId="7" fillId="2" borderId="2" xfId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7" fontId="10" fillId="0" borderId="7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right" vertical="center"/>
    </xf>
    <xf numFmtId="0" fontId="8" fillId="0" borderId="0" xfId="0" applyNumberFormat="1" applyFont="1" applyFill="1" applyAlignment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10" fillId="0" borderId="14" xfId="0" applyNumberFormat="1" applyFont="1" applyFill="1" applyBorder="1" applyAlignment="1">
      <alignment horizontal="center" vertical="center" wrapText="1"/>
    </xf>
    <xf numFmtId="178" fontId="11" fillId="0" borderId="14" xfId="0" applyNumberFormat="1" applyFont="1" applyFill="1" applyBorder="1" applyAlignment="1">
      <alignment horizontal="center"/>
    </xf>
    <xf numFmtId="43" fontId="11" fillId="0" borderId="14" xfId="0" applyNumberFormat="1" applyFont="1" applyFill="1" applyBorder="1" applyAlignment="1">
      <alignment horizontal="center"/>
    </xf>
    <xf numFmtId="43" fontId="11" fillId="0" borderId="14" xfId="0" applyNumberFormat="1" applyFont="1" applyFill="1" applyBorder="1" applyAlignment="1">
      <alignment horizontal="center" vertical="center" wrapText="1"/>
    </xf>
    <xf numFmtId="43" fontId="11" fillId="0" borderId="7" xfId="0" applyNumberFormat="1" applyFont="1" applyFill="1" applyBorder="1" applyAlignment="1">
      <alignment horizontal="center"/>
    </xf>
    <xf numFmtId="178" fontId="10" fillId="0" borderId="14" xfId="0" applyNumberFormat="1" applyFont="1" applyFill="1" applyBorder="1" applyAlignment="1">
      <alignment horizontal="center"/>
    </xf>
    <xf numFmtId="43" fontId="10" fillId="0" borderId="14" xfId="0" applyNumberFormat="1" applyFont="1" applyFill="1" applyBorder="1" applyAlignment="1">
      <alignment horizontal="center"/>
    </xf>
    <xf numFmtId="43" fontId="10" fillId="0" borderId="7" xfId="0" applyNumberFormat="1" applyFont="1" applyFill="1" applyBorder="1" applyAlignment="1">
      <alignment horizontal="center"/>
    </xf>
    <xf numFmtId="0" fontId="10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10" fillId="0" borderId="15" xfId="0" applyNumberFormat="1" applyFont="1" applyFill="1" applyBorder="1" applyAlignment="1">
      <alignment horizontal="center" vertical="center" wrapText="1"/>
    </xf>
    <xf numFmtId="0" fontId="10" fillId="0" borderId="16" xfId="0" applyNumberFormat="1" applyFont="1" applyFill="1" applyBorder="1" applyAlignment="1">
      <alignment horizontal="center" vertical="center" wrapText="1"/>
    </xf>
    <xf numFmtId="43" fontId="11" fillId="0" borderId="7" xfId="0" applyNumberFormat="1" applyFont="1" applyFill="1" applyBorder="1" applyAlignment="1">
      <alignment horizontal="center" vertical="center" wrapText="1"/>
    </xf>
    <xf numFmtId="43" fontId="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 wrapText="1"/>
    </xf>
    <xf numFmtId="0" fontId="11" fillId="0" borderId="14" xfId="0" applyNumberFormat="1" applyFont="1" applyFill="1" applyBorder="1" applyAlignment="1">
      <alignment horizontal="center" vertical="center" wrapText="1"/>
    </xf>
    <xf numFmtId="43" fontId="9" fillId="0" borderId="14" xfId="0" applyNumberFormat="1" applyFont="1" applyFill="1" applyBorder="1" applyAlignment="1">
      <alignment horizontal="center" vertical="center"/>
    </xf>
    <xf numFmtId="177" fontId="10" fillId="0" borderId="17" xfId="0" applyNumberFormat="1" applyFont="1" applyFill="1" applyBorder="1" applyAlignment="1">
      <alignment horizontal="center" vertical="center"/>
    </xf>
    <xf numFmtId="177" fontId="10" fillId="0" borderId="18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vertical="center"/>
    </xf>
    <xf numFmtId="0" fontId="10" fillId="0" borderId="19" xfId="0" applyNumberFormat="1" applyFont="1" applyFill="1" applyBorder="1" applyAlignment="1">
      <alignment horizontal="center" vertical="center"/>
    </xf>
    <xf numFmtId="0" fontId="10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/>
    </xf>
    <xf numFmtId="43" fontId="11" fillId="0" borderId="9" xfId="0" applyNumberFormat="1" applyFont="1" applyFill="1" applyBorder="1" applyAlignment="1">
      <alignment horizontal="center"/>
    </xf>
    <xf numFmtId="43" fontId="11" fillId="0" borderId="9" xfId="0" applyNumberFormat="1" applyFont="1" applyFill="1" applyBorder="1" applyAlignment="1">
      <alignment horizontal="center" vertical="center" wrapText="1"/>
    </xf>
    <xf numFmtId="43" fontId="11" fillId="0" borderId="10" xfId="0" applyNumberFormat="1" applyFont="1" applyFill="1" applyBorder="1" applyAlignment="1">
      <alignment horizontal="center"/>
    </xf>
    <xf numFmtId="178" fontId="11" fillId="0" borderId="12" xfId="0" applyNumberFormat="1" applyFont="1" applyFill="1" applyBorder="1" applyAlignment="1">
      <alignment horizontal="center"/>
    </xf>
    <xf numFmtId="43" fontId="11" fillId="0" borderId="12" xfId="0" applyNumberFormat="1" applyFont="1" applyFill="1" applyBorder="1" applyAlignment="1">
      <alignment horizontal="center"/>
    </xf>
    <xf numFmtId="43" fontId="11" fillId="0" borderId="12" xfId="0" applyNumberFormat="1" applyFont="1" applyFill="1" applyBorder="1" applyAlignment="1">
      <alignment horizontal="center" vertical="center" wrapText="1"/>
    </xf>
    <xf numFmtId="43" fontId="11" fillId="0" borderId="13" xfId="0" applyNumberFormat="1" applyFont="1" applyFill="1" applyBorder="1" applyAlignment="1">
      <alignment horizontal="center"/>
    </xf>
    <xf numFmtId="43" fontId="11" fillId="0" borderId="10" xfId="0" applyNumberFormat="1" applyFont="1" applyFill="1" applyBorder="1" applyAlignment="1">
      <alignment horizontal="center" vertical="center" wrapText="1"/>
    </xf>
    <xf numFmtId="43" fontId="11" fillId="0" borderId="13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1" fillId="0" borderId="9" xfId="0" applyNumberFormat="1" applyFont="1" applyFill="1" applyBorder="1" applyAlignment="1">
      <alignment horizontal="center" vertical="center" wrapText="1"/>
    </xf>
    <xf numFmtId="43" fontId="9" fillId="0" borderId="9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 wrapText="1"/>
    </xf>
    <xf numFmtId="43" fontId="9" fillId="0" borderId="12" xfId="0" applyNumberFormat="1" applyFont="1" applyFill="1" applyBorder="1" applyAlignment="1">
      <alignment horizontal="center" vertical="center"/>
    </xf>
    <xf numFmtId="0" fontId="10" fillId="0" borderId="2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178" fontId="11" fillId="0" borderId="2" xfId="0" applyNumberFormat="1" applyFont="1" applyFill="1" applyBorder="1" applyAlignment="1">
      <alignment horizontal="center"/>
    </xf>
    <xf numFmtId="43" fontId="11" fillId="0" borderId="2" xfId="0" applyNumberFormat="1" applyFont="1" applyFill="1" applyBorder="1" applyAlignment="1">
      <alignment horizontal="center"/>
    </xf>
    <xf numFmtId="43" fontId="11" fillId="0" borderId="2" xfId="0" applyNumberFormat="1" applyFont="1" applyFill="1" applyBorder="1" applyAlignment="1">
      <alignment horizontal="center" vertical="center" wrapText="1"/>
    </xf>
    <xf numFmtId="43" fontId="11" fillId="0" borderId="23" xfId="0" applyNumberFormat="1" applyFont="1" applyFill="1" applyBorder="1" applyAlignment="1">
      <alignment horizontal="center"/>
    </xf>
    <xf numFmtId="43" fontId="8" fillId="0" borderId="0" xfId="0" applyNumberFormat="1" applyFont="1" applyFill="1" applyAlignment="1">
      <alignment horizontal="center" vertical="center"/>
    </xf>
    <xf numFmtId="43" fontId="11" fillId="0" borderId="23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43" fontId="9" fillId="0" borderId="2" xfId="0" applyNumberFormat="1" applyFont="1" applyFill="1" applyBorder="1" applyAlignment="1">
      <alignment horizontal="center" vertical="center"/>
    </xf>
    <xf numFmtId="176" fontId="10" fillId="0" borderId="22" xfId="0" applyNumberFormat="1" applyFont="1" applyFill="1" applyBorder="1" applyAlignment="1"/>
    <xf numFmtId="176" fontId="10" fillId="0" borderId="2" xfId="0" applyNumberFormat="1" applyFont="1" applyFill="1" applyBorder="1" applyAlignment="1"/>
    <xf numFmtId="0" fontId="10" fillId="0" borderId="2" xfId="0" applyNumberFormat="1" applyFont="1" applyFill="1" applyBorder="1" applyAlignment="1"/>
    <xf numFmtId="0" fontId="10" fillId="0" borderId="24" xfId="0" applyNumberFormat="1" applyFont="1" applyFill="1" applyBorder="1" applyAlignment="1">
      <alignment horizontal="center" vertical="center" wrapText="1"/>
    </xf>
    <xf numFmtId="0" fontId="10" fillId="0" borderId="25" xfId="0" applyNumberFormat="1" applyFont="1" applyFill="1" applyBorder="1" applyAlignment="1">
      <alignment horizontal="center" vertical="center" wrapText="1"/>
    </xf>
    <xf numFmtId="178" fontId="11" fillId="0" borderId="25" xfId="0" applyNumberFormat="1" applyFont="1" applyFill="1" applyBorder="1" applyAlignment="1">
      <alignment horizontal="center"/>
    </xf>
    <xf numFmtId="43" fontId="11" fillId="0" borderId="25" xfId="0" applyNumberFormat="1" applyFont="1" applyFill="1" applyBorder="1" applyAlignment="1">
      <alignment horizontal="center"/>
    </xf>
    <xf numFmtId="43" fontId="11" fillId="0" borderId="25" xfId="0" applyNumberFormat="1" applyFont="1" applyFill="1" applyBorder="1" applyAlignment="1">
      <alignment horizontal="center" vertical="center" wrapText="1"/>
    </xf>
    <xf numFmtId="43" fontId="11" fillId="0" borderId="26" xfId="0" applyNumberFormat="1" applyFont="1" applyFill="1" applyBorder="1" applyAlignment="1">
      <alignment horizontal="center"/>
    </xf>
    <xf numFmtId="43" fontId="10" fillId="4" borderId="7" xfId="0" applyNumberFormat="1" applyFont="1" applyFill="1" applyBorder="1" applyAlignment="1">
      <alignment horizontal="center" vertical="center" wrapText="1"/>
    </xf>
    <xf numFmtId="43" fontId="11" fillId="0" borderId="26" xfId="0" applyNumberFormat="1" applyFont="1" applyFill="1" applyBorder="1" applyAlignment="1">
      <alignment horizontal="center" vertical="center" wrapText="1"/>
    </xf>
    <xf numFmtId="0" fontId="11" fillId="0" borderId="25" xfId="0" applyNumberFormat="1" applyFont="1" applyFill="1" applyBorder="1" applyAlignment="1">
      <alignment horizontal="center" vertical="center" wrapText="1"/>
    </xf>
    <xf numFmtId="43" fontId="9" fillId="0" borderId="25" xfId="0" applyNumberFormat="1" applyFont="1" applyFill="1" applyBorder="1" applyAlignment="1">
      <alignment horizontal="center" vertical="center"/>
    </xf>
    <xf numFmtId="176" fontId="10" fillId="0" borderId="22" xfId="0" applyNumberFormat="1" applyFont="1" applyFill="1" applyBorder="1" applyAlignment="1">
      <alignment horizontal="center"/>
    </xf>
    <xf numFmtId="0" fontId="10" fillId="0" borderId="2" xfId="0" applyNumberFormat="1" applyFont="1" applyFill="1" applyBorder="1" applyAlignment="1">
      <alignment horizontal="center"/>
    </xf>
    <xf numFmtId="176" fontId="10" fillId="0" borderId="27" xfId="0" applyNumberFormat="1" applyFont="1" applyFill="1" applyBorder="1" applyAlignment="1">
      <alignment horizontal="center"/>
    </xf>
    <xf numFmtId="0" fontId="10" fillId="0" borderId="28" xfId="0" applyNumberFormat="1" applyFont="1" applyFill="1" applyBorder="1" applyAlignment="1">
      <alignment horizontal="center"/>
    </xf>
    <xf numFmtId="178" fontId="11" fillId="0" borderId="28" xfId="0" applyNumberFormat="1" applyFont="1" applyFill="1" applyBorder="1" applyAlignment="1">
      <alignment horizontal="center"/>
    </xf>
    <xf numFmtId="43" fontId="11" fillId="0" borderId="28" xfId="0" applyNumberFormat="1" applyFont="1" applyFill="1" applyBorder="1" applyAlignment="1">
      <alignment horizontal="center"/>
    </xf>
    <xf numFmtId="43" fontId="11" fillId="0" borderId="28" xfId="0" applyNumberFormat="1" applyFont="1" applyFill="1" applyBorder="1" applyAlignment="1">
      <alignment horizontal="center" vertical="center" wrapText="1"/>
    </xf>
    <xf numFmtId="43" fontId="11" fillId="0" borderId="29" xfId="0" applyNumberFormat="1" applyFont="1" applyFill="1" applyBorder="1" applyAlignment="1">
      <alignment horizontal="center"/>
    </xf>
    <xf numFmtId="176" fontId="10" fillId="0" borderId="24" xfId="0" applyNumberFormat="1" applyFont="1" applyFill="1" applyBorder="1" applyAlignment="1">
      <alignment horizontal="center"/>
    </xf>
    <xf numFmtId="176" fontId="10" fillId="0" borderId="25" xfId="0" applyNumberFormat="1" applyFont="1" applyFill="1" applyBorder="1" applyAlignment="1">
      <alignment horizontal="center"/>
    </xf>
    <xf numFmtId="176" fontId="10" fillId="0" borderId="2" xfId="0" applyNumberFormat="1" applyFont="1" applyFill="1" applyBorder="1" applyAlignment="1">
      <alignment horizontal="center"/>
    </xf>
    <xf numFmtId="176" fontId="10" fillId="0" borderId="28" xfId="0" applyNumberFormat="1" applyFont="1" applyFill="1" applyBorder="1" applyAlignment="1">
      <alignment horizontal="center"/>
    </xf>
    <xf numFmtId="43" fontId="11" fillId="0" borderId="29" xfId="0" applyNumberFormat="1" applyFont="1" applyFill="1" applyBorder="1" applyAlignment="1">
      <alignment horizontal="center" vertical="center" wrapText="1"/>
    </xf>
    <xf numFmtId="43" fontId="10" fillId="0" borderId="14" xfId="0" applyNumberFormat="1" applyFont="1" applyFill="1" applyBorder="1" applyAlignment="1">
      <alignment horizontal="center" vertical="center" wrapText="1"/>
    </xf>
    <xf numFmtId="43" fontId="10" fillId="0" borderId="7" xfId="0" applyNumberFormat="1" applyFont="1" applyFill="1" applyBorder="1" applyAlignment="1">
      <alignment horizontal="center" vertical="center" wrapText="1"/>
    </xf>
    <xf numFmtId="0" fontId="11" fillId="0" borderId="28" xfId="0" applyNumberFormat="1" applyFont="1" applyFill="1" applyBorder="1" applyAlignment="1">
      <alignment horizontal="center" vertical="center" wrapText="1"/>
    </xf>
    <xf numFmtId="43" fontId="9" fillId="0" borderId="28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Y\2.&#34218;&#37228;&#32489;&#25928;\1.&#34218;&#37228;\1.&#24037;&#36164;\202303\3&#26376;&#34218;&#36164;&#23457;&#26680;&#24037;&#36164;&#30456;&#20851;&#26448;&#2600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4153\Downloads\&#20845;&#26865;&#38236;(&#26477;&#24030;)&#31185;&#25216;&#26377;&#38480;&#20844;&#21496;&#22312;&#32844;&#21592;&#24037;202511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\&#26700;&#38754;\&#20845;&#26865;&#38236;(&#26477;&#24030;)&#31185;&#25216;&#26377;&#38480;&#20844;&#21496;&#22312;&#32844;&#21592;&#24037;1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jenny12906736\FileStorage\File\2019-11\2019-10-&#27491;&#24120;&#24037;&#36164;&#34218;&#37329;&#25152;&#2447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1-入职"/>
      <sheetName val="2-离职"/>
      <sheetName val="3-转正"/>
      <sheetName val="4-调岗调薪"/>
      <sheetName val="5-补扣款"/>
      <sheetName val="6-社保公积金"/>
      <sheetName val="7-考勤统计表"/>
      <sheetName val="8-产假"/>
      <sheetName val="9-专项附加扣除"/>
      <sheetName val="选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9"/>
      <sheetName val="categoryHidden33"/>
      <sheetName val="categoryHidden5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正常工资薪金收入"/>
      <sheetName val="表头对照"/>
      <sheetName val="累计专项扣除"/>
      <sheetName val="填表说明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"/>
  <sheetViews>
    <sheetView showZeros="0" view="pageBreakPreview" zoomScaleNormal="100" topLeftCell="A13" workbookViewId="0">
      <selection activeCell="B2" sqref="B2"/>
    </sheetView>
  </sheetViews>
  <sheetFormatPr defaultColWidth="9" defaultRowHeight="18" customHeight="1"/>
  <cols>
    <col min="1" max="1" width="16.6283185840708" style="29" customWidth="1"/>
    <col min="2" max="3" width="12.5044247787611" style="29" customWidth="1"/>
    <col min="4" max="4" width="4.3716814159292" style="29" customWidth="1"/>
    <col min="5" max="5" width="11.2477876106195" style="29" customWidth="1"/>
    <col min="6" max="6" width="13.3716814159292" style="29" customWidth="1"/>
    <col min="7" max="7" width="10.3716814159292" style="29" customWidth="1"/>
    <col min="8" max="8" width="9.3716814159292" style="29" customWidth="1"/>
    <col min="9" max="11" width="10.3716814159292" style="29" customWidth="1"/>
    <col min="12" max="12" width="11.5044247787611" style="29" customWidth="1"/>
    <col min="13" max="13" width="9.3716814159292" style="29" customWidth="1"/>
    <col min="14" max="14" width="11.2477876106195" style="29" customWidth="1"/>
    <col min="15" max="15" width="15.3716814159292" style="29" customWidth="1"/>
    <col min="16" max="16" width="9" style="29"/>
    <col min="17" max="17" width="9.75221238938053" style="29" customWidth="1"/>
    <col min="18" max="18" width="13.3716814159292" style="29" customWidth="1"/>
    <col min="19" max="16384" width="9" style="29"/>
  </cols>
  <sheetData>
    <row r="1" s="28" customFormat="1" ht="30" customHeight="1" spans="1:15">
      <c r="A1" s="30" t="s">
        <v>0</v>
      </c>
      <c r="B1" s="31">
        <v>46204</v>
      </c>
      <c r="C1" s="32"/>
      <c r="E1" s="33" t="s">
        <v>1</v>
      </c>
      <c r="F1" s="34" t="s">
        <v>2</v>
      </c>
      <c r="G1" s="34"/>
      <c r="H1" s="34"/>
      <c r="I1" s="34"/>
      <c r="J1" s="34"/>
    </row>
    <row r="2" s="28" customFormat="1" ht="17.25" customHeight="1"/>
    <row r="3" s="28" customFormat="1" ht="30" customHeight="1" spans="1:15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5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5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s="28" customFormat="1" customHeight="1" spans="1:15">
      <c r="A6" s="98" t="s">
        <v>19</v>
      </c>
      <c r="B6" s="99">
        <v>0</v>
      </c>
      <c r="C6" s="99">
        <v>0</v>
      </c>
      <c r="D6" s="100">
        <f>COUNTIFS(工资明细!BM:BM,$F$1,工资明细!H:H,A6,工资明细!I:I,B6,工资明细!J:J,C6)</f>
        <v>0</v>
      </c>
      <c r="E6" s="101">
        <f>SUMIFS(工资明细!AO:AO,工资明细!BM:BM,$F$1,工资明细!H:H,A6,工资明细!I:I,B6,工资明细!J:J,C6)</f>
        <v>0</v>
      </c>
      <c r="F6" s="101">
        <f>SUMIFS(工资明细!AP:AP,工资明细!BM:BM,$F$1,工资明细!H:H,A6,工资明细!I:I,B6,工资明细!J:J,C6)</f>
        <v>0</v>
      </c>
      <c r="G6" s="101">
        <f>SUMIFS(工资明细!AQ:AQ,工资明细!BM:BM,$F$1,工资明细!H:H,A6,工资明细!I:I,B6,工资明细!J:J,C6)</f>
        <v>0</v>
      </c>
      <c r="H6" s="101">
        <f>SUMIFS(工资明细!AR:AR,工资明细!BM:BM,$F$1,工资明细!H:H,A6,工资明细!I:I,B6,工资明细!J:J,C6)</f>
        <v>0</v>
      </c>
      <c r="I6" s="101">
        <f t="shared" ref="I6:I11" si="0">F6+G6+H6</f>
        <v>0</v>
      </c>
      <c r="J6" s="101">
        <f>SUMIFS(工资明细!AT:AT,工资明细!BM:BM,$F$1,工资明细!H:H,A6,工资明细!I:I,B6,工资明细!J:J,C6)</f>
        <v>0</v>
      </c>
      <c r="K6" s="101">
        <f>SUMIFS(工资明细!AU:AU,工资明细!BM:BM,$F$1,工资明细!H:H,A6,工资明细!I:I,B6,工资明细!J:J,C6)</f>
        <v>0</v>
      </c>
      <c r="L6" s="101">
        <f>SUMIFS(工资明细!AV:AV,工资明细!BM:BM,$F$1,工资明细!H:H,A6,工资明细!I:I,B6,工资明细!J:J,C6)</f>
        <v>0</v>
      </c>
      <c r="M6" s="102">
        <f>SUMIFS(工资明细!AW:AW,工资明细!BM:BM,$F$1,工资明细!H:H,A6,工资明细!I:I,B6,工资明细!J:J,C6)</f>
        <v>0</v>
      </c>
      <c r="N6" s="103">
        <f>SUMIFS(工资明细!AX:AX,工资明细!BM:BM,$F$1,工资明细!H:H,A6,工资明细!I:I,B6,工资明细!J:J,C6)</f>
        <v>0</v>
      </c>
    </row>
    <row r="7" customHeight="1" spans="1:15">
      <c r="A7" s="108" t="s">
        <v>20</v>
      </c>
      <c r="B7" s="86">
        <v>0</v>
      </c>
      <c r="C7" s="86">
        <v>0</v>
      </c>
      <c r="D7" s="87">
        <f>COUNTIFS(工资明细!BM:BM,$F$1,工资明细!H:H,A7,工资明细!I:I,B7,工资明细!J:J,C7)</f>
        <v>0</v>
      </c>
      <c r="E7" s="88">
        <f>SUMIFS(工资明细!AO:AO,工资明细!BM:BM,$F$1,工资明细!H:H,A7,工资明细!I:I,B7,工资明细!J:J,C7)</f>
        <v>0</v>
      </c>
      <c r="F7" s="88">
        <f>SUMIFS(工资明细!AP:AP,工资明细!BM:BM,$F$1,工资明细!H:H,A7,工资明细!I:I,B7,工资明细!J:J,C7)</f>
        <v>0</v>
      </c>
      <c r="G7" s="88">
        <f>SUMIFS(工资明细!AQ:AQ,工资明细!BM:BM,$F$1,工资明细!H:H,A7,工资明细!I:I,B7,工资明细!J:J,C7)</f>
        <v>0</v>
      </c>
      <c r="H7" s="88">
        <f>SUMIFS(工资明细!AR:AR,工资明细!BM:BM,$F$1,工资明细!H:H,A7,工资明细!I:I,B7,工资明细!J:J,C7)</f>
        <v>0</v>
      </c>
      <c r="I7" s="88">
        <f t="shared" si="0"/>
        <v>0</v>
      </c>
      <c r="J7" s="88">
        <f>SUMIFS(工资明细!AT:AT,工资明细!BM:BM,$F$1,工资明细!H:H,A7,工资明细!I:I,B7,工资明细!J:J,C7)</f>
        <v>0</v>
      </c>
      <c r="K7" s="88">
        <f>SUMIFS(工资明细!AU:AU,工资明细!BM:BM,$F$1,工资明细!H:H,A7,工资明细!I:I,B7,工资明细!J:J,C7)</f>
        <v>0</v>
      </c>
      <c r="L7" s="88">
        <f>SUMIFS(工资明细!AV:AV,工资明细!BM:BM,$F$1,工资明细!H:H,A7,工资明细!I:I,B7,工资明细!J:J,C7)</f>
        <v>0</v>
      </c>
      <c r="M7" s="89">
        <f>SUMIFS(工资明细!AW:AW,工资明细!BM:BM,$F$1,工资明细!H:H,A7,工资明细!I:I,B7,工资明细!J:J,C7)</f>
        <v>0</v>
      </c>
      <c r="N7" s="90">
        <f>SUMIFS(工资明细!AX:AX,工资明细!BM:BM,$F$1,工资明细!H:H,A7,工资明细!I:I,B7,工资明细!J:J,C7)</f>
        <v>0</v>
      </c>
      <c r="O7" s="56"/>
    </row>
    <row r="8" customHeight="1" spans="1:15">
      <c r="A8" s="108" t="s">
        <v>21</v>
      </c>
      <c r="B8" s="109" t="s">
        <v>22</v>
      </c>
      <c r="C8" s="86">
        <v>0</v>
      </c>
      <c r="D8" s="87">
        <f>COUNTIFS(工资明细!BM:BM,$F$1,工资明细!H:H,A8,工资明细!I:I,B8,工资明细!J:J,C8)</f>
        <v>0</v>
      </c>
      <c r="E8" s="88">
        <f>SUMIFS(工资明细!AO:AO,工资明细!BM:BM,$F$1,工资明细!H:H,A8,工资明细!I:I,B8,工资明细!J:J,C8)</f>
        <v>0</v>
      </c>
      <c r="F8" s="88">
        <f>SUMIFS(工资明细!AP:AP,工资明细!BM:BM,$F$1,工资明细!H:H,A8,工资明细!I:I,B8,工资明细!J:J,C8)</f>
        <v>0</v>
      </c>
      <c r="G8" s="88">
        <f>SUMIFS(工资明细!AQ:AQ,工资明细!BM:BM,$F$1,工资明细!H:H,A8,工资明细!I:I,B8,工资明细!J:J,C8)</f>
        <v>0</v>
      </c>
      <c r="H8" s="88">
        <f>SUMIFS(工资明细!AR:AR,工资明细!BM:BM,$F$1,工资明细!H:H,A8,工资明细!I:I,B8,工资明细!J:J,C8)</f>
        <v>0</v>
      </c>
      <c r="I8" s="88">
        <f t="shared" si="0"/>
        <v>0</v>
      </c>
      <c r="J8" s="88">
        <f>SUMIFS(工资明细!AT:AT,工资明细!BM:BM,$F$1,工资明细!H:H,A8,工资明细!I:I,B8,工资明细!J:J,C8)</f>
        <v>0</v>
      </c>
      <c r="K8" s="88">
        <f>SUMIFS(工资明细!AU:AU,工资明细!BM:BM,$F$1,工资明细!H:H,A8,工资明细!I:I,B8,工资明细!J:J,C8)</f>
        <v>0</v>
      </c>
      <c r="L8" s="88">
        <f>SUMIFS(工资明细!AV:AV,工资明细!BM:BM,$F$1,工资明细!H:H,A8,工资明细!I:I,B8,工资明细!J:J,C8)</f>
        <v>0</v>
      </c>
      <c r="M8" s="89">
        <f>SUMIFS(工资明细!AW:AW,工资明细!BM:BM,$F$1,工资明细!H:H,A8,工资明细!I:I,B8,工资明细!J:J,C8)</f>
        <v>0</v>
      </c>
      <c r="N8" s="90">
        <f>SUMIFS(工资明细!AX:AX,工资明细!BM:BM,$F$1,工资明细!H:H,A8,工资明细!I:I,B8,工资明细!J:J,C8)</f>
        <v>0</v>
      </c>
      <c r="O8" s="56"/>
    </row>
    <row r="9" customHeight="1" spans="1:15">
      <c r="A9" s="108" t="s">
        <v>23</v>
      </c>
      <c r="B9" s="109" t="s">
        <v>24</v>
      </c>
      <c r="C9" s="86">
        <v>0</v>
      </c>
      <c r="D9" s="87">
        <f>COUNTIFS(工资明细!BM:BM,$F$1,工资明细!H:H,A9,工资明细!I:I,B9,工资明细!J:J,C9)</f>
        <v>0</v>
      </c>
      <c r="E9" s="88">
        <f>SUMIFS(工资明细!AO:AO,工资明细!BM:BM,$F$1,工资明细!H:H,A9,工资明细!I:I,B9,工资明细!J:J,C9)</f>
        <v>0</v>
      </c>
      <c r="F9" s="88">
        <f>SUMIFS(工资明细!AP:AP,工资明细!BM:BM,$F$1,工资明细!H:H,A9,工资明细!I:I,B9,工资明细!J:J,C9)</f>
        <v>0</v>
      </c>
      <c r="G9" s="88">
        <f>SUMIFS(工资明细!AQ:AQ,工资明细!BM:BM,$F$1,工资明细!H:H,A9,工资明细!I:I,B9,工资明细!J:J,C9)</f>
        <v>0</v>
      </c>
      <c r="H9" s="88">
        <f>SUMIFS(工资明细!AR:AR,工资明细!BM:BM,$F$1,工资明细!H:H,A9,工资明细!I:I,B9,工资明细!J:J,C9)</f>
        <v>0</v>
      </c>
      <c r="I9" s="88">
        <f t="shared" si="0"/>
        <v>0</v>
      </c>
      <c r="J9" s="88">
        <f>SUMIFS(工资明细!AT:AT,工资明细!BM:BM,$F$1,工资明细!H:H,A9,工资明细!I:I,B9,工资明细!J:J,C9)</f>
        <v>0</v>
      </c>
      <c r="K9" s="88">
        <f>SUMIFS(工资明细!AU:AU,工资明细!BM:BM,$F$1,工资明细!H:H,A9,工资明细!I:I,B9,工资明细!J:J,C9)</f>
        <v>0</v>
      </c>
      <c r="L9" s="88">
        <f>SUMIFS(工资明细!AV:AV,工资明细!BM:BM,$F$1,工资明细!H:H,A9,工资明细!I:I,B9,工资明细!J:J,C9)</f>
        <v>0</v>
      </c>
      <c r="M9" s="89">
        <f>SUMIFS(工资明细!AW:AW,工资明细!BM:BM,$F$1,工资明细!H:H,A9,工资明细!I:I,B9,工资明细!J:J,C9)</f>
        <v>0</v>
      </c>
      <c r="N9" s="90">
        <f>SUMIFS(工资明细!AX:AX,工资明细!BM:BM,$F$1,工资明细!H:H,A9,工资明细!I:I,B9,工资明细!J:J,C9)</f>
        <v>0</v>
      </c>
      <c r="O9" s="56"/>
    </row>
    <row r="10" customHeight="1" spans="1:15">
      <c r="A10" s="108" t="s">
        <v>23</v>
      </c>
      <c r="B10" s="109" t="s">
        <v>25</v>
      </c>
      <c r="C10" s="109" t="s">
        <v>26</v>
      </c>
      <c r="D10" s="87">
        <f>COUNTIFS(工资明细!BM:BM,$F$1,工资明细!H:H,A10,工资明细!I:I,B10,工资明细!J:J,C10)</f>
        <v>0</v>
      </c>
      <c r="E10" s="88">
        <f>SUMIFS(工资明细!AO:AO,工资明细!BM:BM,$F$1,工资明细!H:H,A10,工资明细!I:I,B10,工资明细!J:J,C10)</f>
        <v>0</v>
      </c>
      <c r="F10" s="88">
        <f>SUMIFS(工资明细!AP:AP,工资明细!BM:BM,$F$1,工资明细!H:H,A10,工资明细!I:I,B10,工资明细!J:J,C10)</f>
        <v>0</v>
      </c>
      <c r="G10" s="88">
        <f>SUMIFS(工资明细!AQ:AQ,工资明细!BM:BM,$F$1,工资明细!H:H,A10,工资明细!I:I,B10,工资明细!J:J,C10)</f>
        <v>0</v>
      </c>
      <c r="H10" s="88">
        <f>SUMIFS(工资明细!AR:AR,工资明细!BM:BM,$F$1,工资明细!H:H,A10,工资明细!I:I,B10,工资明细!J:J,C10)</f>
        <v>0</v>
      </c>
      <c r="I10" s="88">
        <f t="shared" si="0"/>
        <v>0</v>
      </c>
      <c r="J10" s="88">
        <f>SUMIFS(工资明细!AT:AT,工资明细!BM:BM,$F$1,工资明细!H:H,A10,工资明细!I:I,B10,工资明细!J:J,C10)</f>
        <v>0</v>
      </c>
      <c r="K10" s="88">
        <f>SUMIFS(工资明细!AU:AU,工资明细!BM:BM,$F$1,工资明细!H:H,A10,工资明细!I:I,B10,工资明细!J:J,C10)</f>
        <v>0</v>
      </c>
      <c r="L10" s="88">
        <f>SUMIFS(工资明细!AV:AV,工资明细!BM:BM,$F$1,工资明细!H:H,A10,工资明细!I:I,B10,工资明细!J:J,C10)</f>
        <v>0</v>
      </c>
      <c r="M10" s="89">
        <f>SUMIFS(工资明细!AW:AW,工资明细!BM:BM,$F$1,工资明细!H:H,A10,工资明细!I:I,B10,工资明细!J:J,C10)</f>
        <v>0</v>
      </c>
      <c r="N10" s="90">
        <f>SUMIFS(工资明细!AX:AX,工资明细!BM:BM,$F$1,工资明细!H:H,A10,工资明细!I:I,B10,工资明细!J:J,C10)</f>
        <v>0</v>
      </c>
      <c r="O10" s="56"/>
    </row>
    <row r="11" customHeight="1" spans="1:15">
      <c r="A11" s="108" t="s">
        <v>23</v>
      </c>
      <c r="B11" s="109" t="s">
        <v>25</v>
      </c>
      <c r="C11" s="109" t="s">
        <v>27</v>
      </c>
      <c r="D11" s="87">
        <f>COUNTIFS(工资明细!BM:BM,$F$1,工资明细!H:H,A11,工资明细!I:I,B11,工资明细!J:J,C11)</f>
        <v>0</v>
      </c>
      <c r="E11" s="88">
        <f>SUMIFS(工资明细!AO:AO,工资明细!BM:BM,$F$1,工资明细!H:H,A11,工资明细!I:I,B11,工资明细!J:J,C11)</f>
        <v>0</v>
      </c>
      <c r="F11" s="88">
        <f>SUMIFS(工资明细!AP:AP,工资明细!BM:BM,$F$1,工资明细!H:H,A11,工资明细!I:I,B11,工资明细!J:J,C11)</f>
        <v>0</v>
      </c>
      <c r="G11" s="88">
        <f>SUMIFS(工资明细!AQ:AQ,工资明细!BM:BM,$F$1,工资明细!H:H,A11,工资明细!I:I,B11,工资明细!J:J,C11)</f>
        <v>0</v>
      </c>
      <c r="H11" s="88">
        <f>SUMIFS(工资明细!AR:AR,工资明细!BM:BM,$F$1,工资明细!H:H,A11,工资明细!I:I,B11,工资明细!J:J,C11)</f>
        <v>0</v>
      </c>
      <c r="I11" s="88">
        <f t="shared" si="0"/>
        <v>0</v>
      </c>
      <c r="J11" s="88">
        <f>SUMIFS(工资明细!AT:AT,工资明细!BM:BM,$F$1,工资明细!H:H,A11,工资明细!I:I,B11,工资明细!J:J,C11)</f>
        <v>0</v>
      </c>
      <c r="K11" s="88">
        <f>SUMIFS(工资明细!AU:AU,工资明细!BM:BM,$F$1,工资明细!H:H,A11,工资明细!I:I,B11,工资明细!J:J,C11)</f>
        <v>0</v>
      </c>
      <c r="L11" s="88">
        <f>SUMIFS(工资明细!AV:AV,工资明细!BM:BM,$F$1,工资明细!H:H,A11,工资明细!I:I,B11,工资明细!J:J,C11)</f>
        <v>0</v>
      </c>
      <c r="M11" s="89">
        <f>SUMIFS(工资明细!AW:AW,工资明细!BM:BM,$F$1,工资明细!H:H,A11,工资明细!I:I,B11,工资明细!J:J,C11)</f>
        <v>0</v>
      </c>
      <c r="N11" s="90">
        <f>SUMIFS(工资明细!AX:AX,工资明细!BM:BM,$F$1,工资明细!H:H,A11,工资明细!I:I,B11,工资明细!J:J,C11)</f>
        <v>0</v>
      </c>
      <c r="O11" s="56"/>
    </row>
    <row r="12" customHeight="1" spans="1:15">
      <c r="A12" s="108" t="s">
        <v>28</v>
      </c>
      <c r="B12" s="109">
        <v>0</v>
      </c>
      <c r="C12" s="109">
        <v>0</v>
      </c>
      <c r="D12" s="87">
        <f>COUNTIFS(工资明细!BM:BM,$F$1,工资明细!H:H,A12,工资明细!I:I,B12,工资明细!J:J,C12)</f>
        <v>0</v>
      </c>
      <c r="E12" s="88">
        <f>SUMIFS(工资明细!AO:AO,工资明细!BM:BM,$F$1,工资明细!H:H,A12,工资明细!I:I,B12,工资明细!J:J,C12)</f>
        <v>0</v>
      </c>
      <c r="F12" s="88">
        <f>SUMIFS(工资明细!AP:AP,工资明细!BM:BM,$F$1,工资明细!H:H,A12,工资明细!I:I,B12,工资明细!J:J,C12)</f>
        <v>0</v>
      </c>
      <c r="G12" s="88">
        <f>SUMIFS(工资明细!AQ:AQ,工资明细!BM:BM,$F$1,工资明细!H:H,A12,工资明细!I:I,B12,工资明细!J:J,C12)</f>
        <v>0</v>
      </c>
      <c r="H12" s="88">
        <f>SUMIFS(工资明细!AR:AR,工资明细!BM:BM,$F$1,工资明细!H:H,A12,工资明细!I:I,B12,工资明细!J:J,C12)</f>
        <v>0</v>
      </c>
      <c r="I12" s="88">
        <f t="shared" ref="I12:I25" si="1">F12+G12+H12</f>
        <v>0</v>
      </c>
      <c r="J12" s="88">
        <f>SUMIFS(工资明细!AT:AT,工资明细!BM:BM,$F$1,工资明细!H:H,A12,工资明细!I:I,B12,工资明细!J:J,C12)</f>
        <v>0</v>
      </c>
      <c r="K12" s="88">
        <f>SUMIFS(工资明细!AU:AU,工资明细!BM:BM,$F$1,工资明细!H:H,A12,工资明细!I:I,B12,工资明细!J:J,C12)</f>
        <v>0</v>
      </c>
      <c r="L12" s="88">
        <f>SUMIFS(工资明细!AV:AV,工资明细!BM:BM,$F$1,工资明细!H:H,A12,工资明细!I:I,B12,工资明细!J:J,C12)</f>
        <v>0</v>
      </c>
      <c r="M12" s="89">
        <f>SUMIFS(工资明细!AW:AW,工资明细!BM:BM,$F$1,工资明细!H:H,A12,工资明细!I:I,B12,工资明细!J:J,C12)</f>
        <v>0</v>
      </c>
      <c r="N12" s="90">
        <f>SUMIFS(工资明细!AX:AX,工资明细!BM:BM,$F$1,工资明细!H:H,A12,工资明细!I:I,B12,工资明细!J:J,C12)</f>
        <v>0</v>
      </c>
      <c r="O12" s="56"/>
    </row>
    <row r="13" customHeight="1" spans="1:15">
      <c r="A13" s="108" t="s">
        <v>29</v>
      </c>
      <c r="B13" s="109" t="s">
        <v>30</v>
      </c>
      <c r="C13" s="109" t="s">
        <v>31</v>
      </c>
      <c r="D13" s="87">
        <f>COUNTIFS(工资明细!BM:BM,$F$1,工资明细!H:H,A13,工资明细!I:I,B13,工资明细!J:J,C13)</f>
        <v>0</v>
      </c>
      <c r="E13" s="88">
        <f>SUMIFS(工资明细!AO:AO,工资明细!BM:BM,$F$1,工资明细!H:H,A13,工资明细!I:I,B13,工资明细!J:J,C13)</f>
        <v>0</v>
      </c>
      <c r="F13" s="88">
        <f>SUMIFS(工资明细!AP:AP,工资明细!BM:BM,$F$1,工资明细!H:H,A13,工资明细!I:I,B13,工资明细!J:J,C13)</f>
        <v>0</v>
      </c>
      <c r="G13" s="88">
        <f>SUMIFS(工资明细!AQ:AQ,工资明细!BM:BM,$F$1,工资明细!H:H,A13,工资明细!I:I,B13,工资明细!J:J,C13)</f>
        <v>0</v>
      </c>
      <c r="H13" s="88">
        <f>SUMIFS(工资明细!AR:AR,工资明细!BM:BM,$F$1,工资明细!H:H,A13,工资明细!I:I,B13,工资明细!J:J,C13)</f>
        <v>0</v>
      </c>
      <c r="I13" s="88">
        <f t="shared" si="1"/>
        <v>0</v>
      </c>
      <c r="J13" s="88">
        <f>SUMIFS(工资明细!AT:AT,工资明细!BM:BM,$F$1,工资明细!H:H,A13,工资明细!I:I,B13,工资明细!J:J,C13)</f>
        <v>0</v>
      </c>
      <c r="K13" s="88">
        <f>SUMIFS(工资明细!AU:AU,工资明细!BM:BM,$F$1,工资明细!H:H,A13,工资明细!I:I,B13,工资明细!J:J,C13)</f>
        <v>0</v>
      </c>
      <c r="L13" s="88">
        <f>SUMIFS(工资明细!AV:AV,工资明细!BM:BM,$F$1,工资明细!H:H,A13,工资明细!I:I,B13,工资明细!J:J,C13)</f>
        <v>0</v>
      </c>
      <c r="M13" s="89">
        <f>SUMIFS(工资明细!AW:AW,工资明细!BM:BM,$F$1,工资明细!H:H,A13,工资明细!I:I,B13,工资明细!J:J,C13)</f>
        <v>0</v>
      </c>
      <c r="N13" s="90">
        <f>SUMIFS(工资明细!AX:AX,工资明细!BM:BM,$F$1,工资明细!H:H,A13,工资明细!I:I,B13,工资明细!J:J,C13)</f>
        <v>0</v>
      </c>
      <c r="O13" s="56"/>
    </row>
    <row r="14" customHeight="1" spans="1:15">
      <c r="A14" s="108" t="s">
        <v>29</v>
      </c>
      <c r="B14" s="109" t="s">
        <v>32</v>
      </c>
      <c r="C14" s="109" t="s">
        <v>33</v>
      </c>
      <c r="D14" s="87">
        <f>COUNTIFS(工资明细!BM:BM,$F$1,工资明细!H:H,A14,工资明细!I:I,B14,工资明细!J:J,C14)</f>
        <v>0</v>
      </c>
      <c r="E14" s="88">
        <f>SUMIFS(工资明细!AO:AO,工资明细!BM:BM,$F$1,工资明细!H:H,A14,工资明细!I:I,B14,工资明细!J:J,C14)</f>
        <v>0</v>
      </c>
      <c r="F14" s="88">
        <f>SUMIFS(工资明细!AP:AP,工资明细!BM:BM,$F$1,工资明细!H:H,A14,工资明细!I:I,B14,工资明细!J:J,C14)</f>
        <v>0</v>
      </c>
      <c r="G14" s="88">
        <f>SUMIFS(工资明细!AQ:AQ,工资明细!BM:BM,$F$1,工资明细!H:H,A14,工资明细!I:I,B14,工资明细!J:J,C14)</f>
        <v>0</v>
      </c>
      <c r="H14" s="88">
        <f>SUMIFS(工资明细!AR:AR,工资明细!BM:BM,$F$1,工资明细!H:H,A14,工资明细!I:I,B14,工资明细!J:J,C14)</f>
        <v>0</v>
      </c>
      <c r="I14" s="88">
        <f t="shared" si="1"/>
        <v>0</v>
      </c>
      <c r="J14" s="88">
        <f>SUMIFS(工资明细!AT:AT,工资明细!BM:BM,$F$1,工资明细!H:H,A14,工资明细!I:I,B14,工资明细!J:J,C14)</f>
        <v>0</v>
      </c>
      <c r="K14" s="88">
        <f>SUMIFS(工资明细!AU:AU,工资明细!BM:BM,$F$1,工资明细!H:H,A14,工资明细!I:I,B14,工资明细!J:J,C14)</f>
        <v>0</v>
      </c>
      <c r="L14" s="88">
        <f>SUMIFS(工资明细!AV:AV,工资明细!BM:BM,$F$1,工资明细!H:H,A14,工资明细!I:I,B14,工资明细!J:J,C14)</f>
        <v>0</v>
      </c>
      <c r="M14" s="89">
        <f>SUMIFS(工资明细!AW:AW,工资明细!BM:BM,$F$1,工资明细!H:H,A14,工资明细!I:I,B14,工资明细!J:J,C14)</f>
        <v>0</v>
      </c>
      <c r="N14" s="90">
        <f>SUMIFS(工资明细!AX:AX,工资明细!BM:BM,$F$1,工资明细!H:H,A14,工资明细!I:I,B14,工资明细!J:J,C14)</f>
        <v>0</v>
      </c>
      <c r="O14" s="56"/>
    </row>
    <row r="15" customHeight="1" spans="1:15">
      <c r="A15" s="108" t="s">
        <v>29</v>
      </c>
      <c r="B15" s="109">
        <v>0</v>
      </c>
      <c r="C15" s="109">
        <v>0</v>
      </c>
      <c r="D15" s="87">
        <f>COUNTIFS(工资明细!BM:BM,$F$1,工资明细!H:H,A15,工资明细!I:I,B15,工资明细!J:J,C15)</f>
        <v>0</v>
      </c>
      <c r="E15" s="88">
        <f>SUMIFS(工资明细!AO:AO,工资明细!BM:BM,$F$1,工资明细!H:H,A15,工资明细!I:I,B15,工资明细!J:J,C15)</f>
        <v>0</v>
      </c>
      <c r="F15" s="88">
        <f>SUMIFS(工资明细!AP:AP,工资明细!BM:BM,$F$1,工资明细!H:H,A15,工资明细!I:I,B15,工资明细!J:J,C15)</f>
        <v>0</v>
      </c>
      <c r="G15" s="88">
        <f>SUMIFS(工资明细!AQ:AQ,工资明细!BM:BM,$F$1,工资明细!H:H,A15,工资明细!I:I,B15,工资明细!J:J,C15)</f>
        <v>0</v>
      </c>
      <c r="H15" s="88">
        <f>SUMIFS(工资明细!AR:AR,工资明细!BM:BM,$F$1,工资明细!H:H,A15,工资明细!I:I,B15,工资明细!J:J,C15)</f>
        <v>0</v>
      </c>
      <c r="I15" s="88">
        <f t="shared" si="1"/>
        <v>0</v>
      </c>
      <c r="J15" s="88">
        <f>SUMIFS(工资明细!AT:AT,工资明细!BM:BM,$F$1,工资明细!H:H,A15,工资明细!I:I,B15,工资明细!J:J,C15)</f>
        <v>0</v>
      </c>
      <c r="K15" s="88">
        <f>SUMIFS(工资明细!AU:AU,工资明细!BM:BM,$F$1,工资明细!H:H,A15,工资明细!I:I,B15,工资明细!J:J,C15)</f>
        <v>0</v>
      </c>
      <c r="L15" s="88">
        <f>SUMIFS(工资明细!AV:AV,工资明细!BM:BM,$F$1,工资明细!H:H,A15,工资明细!I:I,B15,工资明细!J:J,C15)</f>
        <v>0</v>
      </c>
      <c r="M15" s="89">
        <f>SUMIFS(工资明细!AW:AW,工资明细!BM:BM,$F$1,工资明细!H:H,A15,工资明细!I:I,B15,工资明细!J:J,C15)</f>
        <v>0</v>
      </c>
      <c r="N15" s="90">
        <f>SUMIFS(工资明细!AX:AX,工资明细!BM:BM,$F$1,工资明细!H:H,A15,工资明细!I:I,B15,工资明细!J:J,C15)</f>
        <v>0</v>
      </c>
      <c r="O15" s="56"/>
    </row>
    <row r="16" customHeight="1" spans="1:15">
      <c r="A16" s="108" t="s">
        <v>34</v>
      </c>
      <c r="B16" s="109" t="s">
        <v>35</v>
      </c>
      <c r="C16" s="109" t="s">
        <v>36</v>
      </c>
      <c r="D16" s="87">
        <f>COUNTIFS(工资明细!BM:BM,$F$1,工资明细!H:H,A16,工资明细!I:I,B16,工资明细!J:J,C16)</f>
        <v>0</v>
      </c>
      <c r="E16" s="88">
        <f>SUMIFS(工资明细!AO:AO,工资明细!BM:BM,$F$1,工资明细!H:H,A16,工资明细!I:I,B16,工资明细!J:J,C16)</f>
        <v>0</v>
      </c>
      <c r="F16" s="88">
        <f>SUMIFS(工资明细!AP:AP,工资明细!BM:BM,$F$1,工资明细!H:H,A16,工资明细!I:I,B16,工资明细!J:J,C16)</f>
        <v>0</v>
      </c>
      <c r="G16" s="88">
        <f>SUMIFS(工资明细!AQ:AQ,工资明细!BM:BM,$F$1,工资明细!H:H,A16,工资明细!I:I,B16,工资明细!J:J,C16)</f>
        <v>0</v>
      </c>
      <c r="H16" s="88">
        <f>SUMIFS(工资明细!AR:AR,工资明细!BM:BM,$F$1,工资明细!H:H,A16,工资明细!I:I,B16,工资明细!J:J,C16)</f>
        <v>0</v>
      </c>
      <c r="I16" s="88">
        <f t="shared" si="1"/>
        <v>0</v>
      </c>
      <c r="J16" s="88">
        <f>SUMIFS(工资明细!AT:AT,工资明细!BM:BM,$F$1,工资明细!H:H,A16,工资明细!I:I,B16,工资明细!J:J,C16)</f>
        <v>0</v>
      </c>
      <c r="K16" s="88">
        <f>SUMIFS(工资明细!AU:AU,工资明细!BM:BM,$F$1,工资明细!H:H,A16,工资明细!I:I,B16,工资明细!J:J,C16)</f>
        <v>0</v>
      </c>
      <c r="L16" s="88">
        <f>SUMIFS(工资明细!AV:AV,工资明细!BM:BM,$F$1,工资明细!H:H,A16,工资明细!I:I,B16,工资明细!J:J,C16)</f>
        <v>0</v>
      </c>
      <c r="M16" s="89">
        <f>SUMIFS(工资明细!AW:AW,工资明细!BM:BM,$F$1,工资明细!H:H,A16,工资明细!I:I,B16,工资明细!J:J,C16)</f>
        <v>0</v>
      </c>
      <c r="N16" s="90">
        <f>SUMIFS(工资明细!AX:AX,工资明细!BM:BM,$F$1,工资明细!H:H,A16,工资明细!I:I,B16,工资明细!J:J,C16)</f>
        <v>0</v>
      </c>
      <c r="O16" s="56"/>
    </row>
    <row r="17" customHeight="1" spans="1:15">
      <c r="A17" s="108" t="s">
        <v>34</v>
      </c>
      <c r="B17" s="109" t="s">
        <v>35</v>
      </c>
      <c r="C17" s="109" t="s">
        <v>37</v>
      </c>
      <c r="D17" s="87">
        <f>COUNTIFS(工资明细!BM:BM,$F$1,工资明细!H:H,A17,工资明细!I:I,B17,工资明细!J:J,C17)</f>
        <v>0</v>
      </c>
      <c r="E17" s="88">
        <f>SUMIFS(工资明细!AO:AO,工资明细!BM:BM,$F$1,工资明细!H:H,A17,工资明细!I:I,B17,工资明细!J:J,C17)</f>
        <v>0</v>
      </c>
      <c r="F17" s="88">
        <f>SUMIFS(工资明细!AP:AP,工资明细!BM:BM,$F$1,工资明细!H:H,A17,工资明细!I:I,B17,工资明细!J:J,C17)</f>
        <v>0</v>
      </c>
      <c r="G17" s="88">
        <f>SUMIFS(工资明细!AQ:AQ,工资明细!BM:BM,$F$1,工资明细!H:H,A17,工资明细!I:I,B17,工资明细!J:J,C17)</f>
        <v>0</v>
      </c>
      <c r="H17" s="88">
        <f>SUMIFS(工资明细!AR:AR,工资明细!BM:BM,$F$1,工资明细!H:H,A17,工资明细!I:I,B17,工资明细!J:J,C17)</f>
        <v>0</v>
      </c>
      <c r="I17" s="88">
        <f t="shared" si="1"/>
        <v>0</v>
      </c>
      <c r="J17" s="88">
        <f>SUMIFS(工资明细!AT:AT,工资明细!BM:BM,$F$1,工资明细!H:H,A17,工资明细!I:I,B17,工资明细!J:J,C17)</f>
        <v>0</v>
      </c>
      <c r="K17" s="88">
        <f>SUMIFS(工资明细!AU:AU,工资明细!BM:BM,$F$1,工资明细!H:H,A17,工资明细!I:I,B17,工资明细!J:J,C17)</f>
        <v>0</v>
      </c>
      <c r="L17" s="88">
        <f>SUMIFS(工资明细!AV:AV,工资明细!BM:BM,$F$1,工资明细!H:H,A17,工资明细!I:I,B17,工资明细!J:J,C17)</f>
        <v>0</v>
      </c>
      <c r="M17" s="89">
        <f>SUMIFS(工资明细!AW:AW,工资明细!BM:BM,$F$1,工资明细!H:H,A17,工资明细!I:I,B17,工资明细!J:J,C17)</f>
        <v>0</v>
      </c>
      <c r="N17" s="90">
        <f>SUMIFS(工资明细!AX:AX,工资明细!BM:BM,$F$1,工资明细!H:H,A17,工资明细!I:I,B17,工资明细!J:J,C17)</f>
        <v>0</v>
      </c>
      <c r="O17" s="56"/>
    </row>
    <row r="18" customHeight="1" spans="1:15">
      <c r="A18" s="108" t="s">
        <v>34</v>
      </c>
      <c r="B18" s="109" t="s">
        <v>38</v>
      </c>
      <c r="C18" s="109" t="s">
        <v>39</v>
      </c>
      <c r="D18" s="87">
        <f>COUNTIFS(工资明细!BM:BM,$F$1,工资明细!H:H,A18,工资明细!I:I,B18,工资明细!J:J,C18)</f>
        <v>0</v>
      </c>
      <c r="E18" s="88">
        <f>SUMIFS(工资明细!AO:AO,工资明细!BM:BM,$F$1,工资明细!H:H,A18,工资明细!I:I,B18,工资明细!J:J,C18)</f>
        <v>0</v>
      </c>
      <c r="F18" s="88">
        <f>SUMIFS(工资明细!AP:AP,工资明细!BM:BM,$F$1,工资明细!H:H,A18,工资明细!I:I,B18,工资明细!J:J,C18)</f>
        <v>0</v>
      </c>
      <c r="G18" s="88">
        <f>SUMIFS(工资明细!AQ:AQ,工资明细!BM:BM,$F$1,工资明细!H:H,A18,工资明细!I:I,B18,工资明细!J:J,C18)</f>
        <v>0</v>
      </c>
      <c r="H18" s="88">
        <f>SUMIFS(工资明细!AR:AR,工资明细!BM:BM,$F$1,工资明细!H:H,A18,工资明细!I:I,B18,工资明细!J:J,C18)</f>
        <v>0</v>
      </c>
      <c r="I18" s="88">
        <f t="shared" si="1"/>
        <v>0</v>
      </c>
      <c r="J18" s="88">
        <f>SUMIFS(工资明细!AT:AT,工资明细!BM:BM,$F$1,工资明细!H:H,A18,工资明细!I:I,B18,工资明细!J:J,C18)</f>
        <v>0</v>
      </c>
      <c r="K18" s="88">
        <f>SUMIFS(工资明细!AU:AU,工资明细!BM:BM,$F$1,工资明细!H:H,A18,工资明细!I:I,B18,工资明细!J:J,C18)</f>
        <v>0</v>
      </c>
      <c r="L18" s="88">
        <f>SUMIFS(工资明细!AV:AV,工资明细!BM:BM,$F$1,工资明细!H:H,A18,工资明细!I:I,B18,工资明细!J:J,C18)</f>
        <v>0</v>
      </c>
      <c r="M18" s="89">
        <f>SUMIFS(工资明细!AW:AW,工资明细!BM:BM,$F$1,工资明细!H:H,A18,工资明细!I:I,B18,工资明细!J:J,C18)</f>
        <v>0</v>
      </c>
      <c r="N18" s="90">
        <f>SUMIFS(工资明细!AX:AX,工资明细!BM:BM,$F$1,工资明细!H:H,A18,工资明细!I:I,B18,工资明细!J:J,C18)</f>
        <v>0</v>
      </c>
      <c r="O18" s="56"/>
    </row>
    <row r="19" customHeight="1" spans="1:15">
      <c r="A19" s="108" t="s">
        <v>34</v>
      </c>
      <c r="B19" s="109" t="s">
        <v>38</v>
      </c>
      <c r="C19" s="109" t="s">
        <v>40</v>
      </c>
      <c r="D19" s="87">
        <f>COUNTIFS(工资明细!BM:BM,$F$1,工资明细!H:H,A19,工资明细!I:I,B19,工资明细!J:J,C19)</f>
        <v>0</v>
      </c>
      <c r="E19" s="88">
        <f>SUMIFS(工资明细!AO:AO,工资明细!BM:BM,$F$1,工资明细!H:H,A19,工资明细!I:I,B19,工资明细!J:J,C19)</f>
        <v>0</v>
      </c>
      <c r="F19" s="88">
        <f>SUMIFS(工资明细!AP:AP,工资明细!BM:BM,$F$1,工资明细!H:H,A19,工资明细!I:I,B19,工资明细!J:J,C19)</f>
        <v>0</v>
      </c>
      <c r="G19" s="88">
        <f>SUMIFS(工资明细!AQ:AQ,工资明细!BM:BM,$F$1,工资明细!H:H,A19,工资明细!I:I,B19,工资明细!J:J,C19)</f>
        <v>0</v>
      </c>
      <c r="H19" s="88">
        <f>SUMIFS(工资明细!AR:AR,工资明细!BM:BM,$F$1,工资明细!H:H,A19,工资明细!I:I,B19,工资明细!J:J,C19)</f>
        <v>0</v>
      </c>
      <c r="I19" s="88">
        <f t="shared" si="1"/>
        <v>0</v>
      </c>
      <c r="J19" s="88">
        <f>SUMIFS(工资明细!AT:AT,工资明细!BM:BM,$F$1,工资明细!H:H,A19,工资明细!I:I,B19,工资明细!J:J,C19)</f>
        <v>0</v>
      </c>
      <c r="K19" s="88">
        <f>SUMIFS(工资明细!AU:AU,工资明细!BM:BM,$F$1,工资明细!H:H,A19,工资明细!I:I,B19,工资明细!J:J,C19)</f>
        <v>0</v>
      </c>
      <c r="L19" s="88">
        <f>SUMIFS(工资明细!AV:AV,工资明细!BM:BM,$F$1,工资明细!H:H,A19,工资明细!I:I,B19,工资明细!J:J,C19)</f>
        <v>0</v>
      </c>
      <c r="M19" s="89">
        <f>SUMIFS(工资明细!AW:AW,工资明细!BM:BM,$F$1,工资明细!H:H,A19,工资明细!I:I,B19,工资明细!J:J,C19)</f>
        <v>0</v>
      </c>
      <c r="N19" s="90">
        <f>SUMIFS(工资明细!AX:AX,工资明细!BM:BM,$F$1,工资明细!H:H,A19,工资明细!I:I,B19,工资明细!J:J,C19)</f>
        <v>0</v>
      </c>
      <c r="O19" s="56"/>
    </row>
    <row r="20" customHeight="1" spans="1:15">
      <c r="A20" s="108" t="s">
        <v>34</v>
      </c>
      <c r="B20" s="109" t="s">
        <v>38</v>
      </c>
      <c r="C20" s="109" t="s">
        <v>41</v>
      </c>
      <c r="D20" s="87">
        <f>COUNTIFS(工资明细!BM:BM,$F$1,工资明细!H:H,A20,工资明细!I:I,B20,工资明细!J:J,C20)</f>
        <v>0</v>
      </c>
      <c r="E20" s="88">
        <f>SUMIFS(工资明细!AO:AO,工资明细!BM:BM,$F$1,工资明细!H:H,A20,工资明细!I:I,B20,工资明细!J:J,C20)</f>
        <v>0</v>
      </c>
      <c r="F20" s="88">
        <f>SUMIFS(工资明细!AP:AP,工资明细!BM:BM,$F$1,工资明细!H:H,A20,工资明细!I:I,B20,工资明细!J:J,C20)</f>
        <v>0</v>
      </c>
      <c r="G20" s="88">
        <f>SUMIFS(工资明细!AQ:AQ,工资明细!BM:BM,$F$1,工资明细!H:H,A20,工资明细!I:I,B20,工资明细!J:J,C20)</f>
        <v>0</v>
      </c>
      <c r="H20" s="88">
        <f>SUMIFS(工资明细!AR:AR,工资明细!BM:BM,$F$1,工资明细!H:H,A20,工资明细!I:I,B20,工资明细!J:J,C20)</f>
        <v>0</v>
      </c>
      <c r="I20" s="88">
        <f t="shared" si="1"/>
        <v>0</v>
      </c>
      <c r="J20" s="88">
        <f>SUMIFS(工资明细!AT:AT,工资明细!BM:BM,$F$1,工资明细!H:H,A20,工资明细!I:I,B20,工资明细!J:J,C20)</f>
        <v>0</v>
      </c>
      <c r="K20" s="88">
        <f>SUMIFS(工资明细!AU:AU,工资明细!BM:BM,$F$1,工资明细!H:H,A20,工资明细!I:I,B20,工资明细!J:J,C20)</f>
        <v>0</v>
      </c>
      <c r="L20" s="88">
        <f>SUMIFS(工资明细!AV:AV,工资明细!BM:BM,$F$1,工资明细!H:H,A20,工资明细!I:I,B20,工资明细!J:J,C20)</f>
        <v>0</v>
      </c>
      <c r="M20" s="89">
        <f>SUMIFS(工资明细!AW:AW,工资明细!BM:BM,$F$1,工资明细!H:H,A20,工资明细!I:I,B20,工资明细!J:J,C20)</f>
        <v>0</v>
      </c>
      <c r="N20" s="90">
        <f>SUMIFS(工资明细!AX:AX,工资明细!BM:BM,$F$1,工资明细!H:H,A20,工资明细!I:I,B20,工资明细!J:J,C20)</f>
        <v>0</v>
      </c>
      <c r="O20" s="56"/>
    </row>
    <row r="21" customHeight="1" spans="1:15">
      <c r="A21" s="108" t="s">
        <v>34</v>
      </c>
      <c r="B21" s="109" t="s">
        <v>38</v>
      </c>
      <c r="C21" s="109" t="s">
        <v>42</v>
      </c>
      <c r="D21" s="87">
        <f>COUNTIFS(工资明细!BM:BM,$F$1,工资明细!H:H,A21,工资明细!I:I,B21,工资明细!J:J,C21)</f>
        <v>0</v>
      </c>
      <c r="E21" s="88">
        <f>SUMIFS(工资明细!AO:AO,工资明细!BM:BM,$F$1,工资明细!H:H,A21,工资明细!I:I,B21,工资明细!J:J,C21)</f>
        <v>0</v>
      </c>
      <c r="F21" s="88">
        <f>SUMIFS(工资明细!AP:AP,工资明细!BM:BM,$F$1,工资明细!H:H,A21,工资明细!I:I,B21,工资明细!J:J,C21)</f>
        <v>0</v>
      </c>
      <c r="G21" s="88">
        <f>SUMIFS(工资明细!AQ:AQ,工资明细!BM:BM,$F$1,工资明细!H:H,A21,工资明细!I:I,B21,工资明细!J:J,C21)</f>
        <v>0</v>
      </c>
      <c r="H21" s="88">
        <f>SUMIFS(工资明细!AR:AR,工资明细!BM:BM,$F$1,工资明细!H:H,A21,工资明细!I:I,B21,工资明细!J:J,C21)</f>
        <v>0</v>
      </c>
      <c r="I21" s="88">
        <f t="shared" si="1"/>
        <v>0</v>
      </c>
      <c r="J21" s="88">
        <f>SUMIFS(工资明细!AT:AT,工资明细!BM:BM,$F$1,工资明细!H:H,A21,工资明细!I:I,B21,工资明细!J:J,C21)</f>
        <v>0</v>
      </c>
      <c r="K21" s="88">
        <f>SUMIFS(工资明细!AU:AU,工资明细!BM:BM,$F$1,工资明细!H:H,A21,工资明细!I:I,B21,工资明细!J:J,C21)</f>
        <v>0</v>
      </c>
      <c r="L21" s="88">
        <f>SUMIFS(工资明细!AV:AV,工资明细!BM:BM,$F$1,工资明细!H:H,A21,工资明细!I:I,B21,工资明细!J:J,C21)</f>
        <v>0</v>
      </c>
      <c r="M21" s="89">
        <f>SUMIFS(工资明细!AW:AW,工资明细!BM:BM,$F$1,工资明细!H:H,A21,工资明细!I:I,B21,工资明细!J:J,C21)</f>
        <v>0</v>
      </c>
      <c r="N21" s="90">
        <f>SUMIFS(工资明细!AX:AX,工资明细!BM:BM,$F$1,工资明细!H:H,A21,工资明细!I:I,B21,工资明细!J:J,C21)</f>
        <v>0</v>
      </c>
      <c r="O21" s="56"/>
    </row>
    <row r="22" customHeight="1" spans="1:15">
      <c r="A22" s="108" t="s">
        <v>34</v>
      </c>
      <c r="B22" s="109" t="s">
        <v>43</v>
      </c>
      <c r="C22" s="109">
        <v>0</v>
      </c>
      <c r="D22" s="87">
        <f>COUNTIFS(工资明细!BM:BM,$F$1,工资明细!H:H,A22,工资明细!I:I,B22,工资明细!J:J,C22)</f>
        <v>0</v>
      </c>
      <c r="E22" s="88">
        <f>SUMIFS(工资明细!AO:AO,工资明细!BM:BM,$F$1,工资明细!H:H,A22,工资明细!I:I,B22,工资明细!J:J,C22)</f>
        <v>0</v>
      </c>
      <c r="F22" s="88">
        <f>SUMIFS(工资明细!AP:AP,工资明细!BM:BM,$F$1,工资明细!H:H,A22,工资明细!I:I,B22,工资明细!J:J,C22)</f>
        <v>0</v>
      </c>
      <c r="G22" s="88">
        <f>SUMIFS(工资明细!AQ:AQ,工资明细!BM:BM,$F$1,工资明细!H:H,A22,工资明细!I:I,B22,工资明细!J:J,C22)</f>
        <v>0</v>
      </c>
      <c r="H22" s="88">
        <f>SUMIFS(工资明细!AR:AR,工资明细!BM:BM,$F$1,工资明细!H:H,A22,工资明细!I:I,B22,工资明细!J:J,C22)</f>
        <v>0</v>
      </c>
      <c r="I22" s="88">
        <f t="shared" si="1"/>
        <v>0</v>
      </c>
      <c r="J22" s="88">
        <f>SUMIFS(工资明细!AT:AT,工资明细!BM:BM,$F$1,工资明细!H:H,A22,工资明细!I:I,B22,工资明细!J:J,C22)</f>
        <v>0</v>
      </c>
      <c r="K22" s="88">
        <f>SUMIFS(工资明细!AU:AU,工资明细!BM:BM,$F$1,工资明细!H:H,A22,工资明细!I:I,B22,工资明细!J:J,C22)</f>
        <v>0</v>
      </c>
      <c r="L22" s="88">
        <f>SUMIFS(工资明细!AV:AV,工资明细!BM:BM,$F$1,工资明细!H:H,A22,工资明细!I:I,B22,工资明细!J:J,C22)</f>
        <v>0</v>
      </c>
      <c r="M22" s="89">
        <f>SUMIFS(工资明细!AW:AW,工资明细!BM:BM,$F$1,工资明细!H:H,A22,工资明细!I:I,B22,工资明细!J:J,C22)</f>
        <v>0</v>
      </c>
      <c r="N22" s="90">
        <f>SUMIFS(工资明细!AX:AX,工资明细!BM:BM,$F$1,工资明细!H:H,A22,工资明细!I:I,B22,工资明细!J:J,C22)</f>
        <v>0</v>
      </c>
      <c r="O22" s="56"/>
    </row>
    <row r="23" customHeight="1" spans="1:15">
      <c r="A23" s="108" t="s">
        <v>44</v>
      </c>
      <c r="B23" s="109">
        <v>0</v>
      </c>
      <c r="C23" s="109">
        <v>0</v>
      </c>
      <c r="D23" s="87">
        <f>COUNTIFS(工资明细!BM:BM,$F$1,工资明细!H:H,A23,工资明细!I:I,B23,工资明细!J:J,C23)</f>
        <v>0</v>
      </c>
      <c r="E23" s="88">
        <f>SUMIFS(工资明细!AO:AO,工资明细!BM:BM,$F$1,工资明细!H:H,A23,工资明细!I:I,B23,工资明细!J:J,C23)</f>
        <v>0</v>
      </c>
      <c r="F23" s="88">
        <f>SUMIFS(工资明细!AP:AP,工资明细!BM:BM,$F$1,工资明细!H:H,A23,工资明细!I:I,B23,工资明细!J:J,C23)</f>
        <v>0</v>
      </c>
      <c r="G23" s="88">
        <f>SUMIFS(工资明细!AQ:AQ,工资明细!BM:BM,$F$1,工资明细!H:H,A23,工资明细!I:I,B23,工资明细!J:J,C23)</f>
        <v>0</v>
      </c>
      <c r="H23" s="88">
        <f>SUMIFS(工资明细!AR:AR,工资明细!BM:BM,$F$1,工资明细!H:H,A23,工资明细!I:I,B23,工资明细!J:J,C23)</f>
        <v>0</v>
      </c>
      <c r="I23" s="88">
        <f t="shared" si="1"/>
        <v>0</v>
      </c>
      <c r="J23" s="88">
        <f>SUMIFS(工资明细!AT:AT,工资明细!BM:BM,$F$1,工资明细!H:H,A23,工资明细!I:I,B23,工资明细!J:J,C23)</f>
        <v>0</v>
      </c>
      <c r="K23" s="88">
        <f>SUMIFS(工资明细!AU:AU,工资明细!BM:BM,$F$1,工资明细!H:H,A23,工资明细!I:I,B23,工资明细!J:J,C23)</f>
        <v>0</v>
      </c>
      <c r="L23" s="88">
        <f>SUMIFS(工资明细!AV:AV,工资明细!BM:BM,$F$1,工资明细!H:H,A23,工资明细!I:I,B23,工资明细!J:J,C23)</f>
        <v>0</v>
      </c>
      <c r="M23" s="89">
        <f>SUMIFS(工资明细!AW:AW,工资明细!BM:BM,$F$1,工资明细!H:H,A23,工资明细!I:I,B23,工资明细!J:J,C23)</f>
        <v>0</v>
      </c>
      <c r="N23" s="90">
        <f>SUMIFS(工资明细!AX:AX,工资明细!BM:BM,$F$1,工资明细!H:H,A23,工资明细!I:I,B23,工资明细!J:J,C23)</f>
        <v>0</v>
      </c>
      <c r="O23" s="56"/>
    </row>
    <row r="24" customHeight="1" spans="1:15">
      <c r="A24" s="108" t="s">
        <v>45</v>
      </c>
      <c r="B24" s="109">
        <v>0</v>
      </c>
      <c r="C24" s="109">
        <v>0</v>
      </c>
      <c r="D24" s="87">
        <f>COUNTIFS(工资明细!BM:BM,$F$1,工资明细!H:H,A24,工资明细!I:I,B24,工资明细!J:J,C24)</f>
        <v>0</v>
      </c>
      <c r="E24" s="88">
        <f>SUMIFS(工资明细!AO:AO,工资明细!BM:BM,$F$1,工资明细!H:H,A24,工资明细!I:I,B24,工资明细!J:J,C24)</f>
        <v>0</v>
      </c>
      <c r="F24" s="88">
        <f>SUMIFS(工资明细!AP:AP,工资明细!BM:BM,$F$1,工资明细!H:H,A24,工资明细!I:I,B24,工资明细!J:J,C24)</f>
        <v>0</v>
      </c>
      <c r="G24" s="88">
        <f>SUMIFS(工资明细!AQ:AQ,工资明细!BM:BM,$F$1,工资明细!H:H,A24,工资明细!I:I,B24,工资明细!J:J,C24)</f>
        <v>0</v>
      </c>
      <c r="H24" s="88">
        <f>SUMIFS(工资明细!AR:AR,工资明细!BM:BM,$F$1,工资明细!H:H,A24,工资明细!I:I,B24,工资明细!J:J,C24)</f>
        <v>0</v>
      </c>
      <c r="I24" s="88">
        <f t="shared" si="1"/>
        <v>0</v>
      </c>
      <c r="J24" s="88">
        <f>SUMIFS(工资明细!AT:AT,工资明细!BM:BM,$F$1,工资明细!H:H,A24,工资明细!I:I,B24,工资明细!J:J,C24)</f>
        <v>0</v>
      </c>
      <c r="K24" s="88">
        <f>SUMIFS(工资明细!AU:AU,工资明细!BM:BM,$F$1,工资明细!H:H,A24,工资明细!I:I,B24,工资明细!J:J,C24)</f>
        <v>0</v>
      </c>
      <c r="L24" s="88">
        <f>SUMIFS(工资明细!AV:AV,工资明细!BM:BM,$F$1,工资明细!H:H,A24,工资明细!I:I,B24,工资明细!J:J,C24)</f>
        <v>0</v>
      </c>
      <c r="M24" s="89">
        <f>SUMIFS(工资明细!AW:AW,工资明细!BM:BM,$F$1,工资明细!H:H,A24,工资明细!I:I,B24,工资明细!J:J,C24)</f>
        <v>0</v>
      </c>
      <c r="N24" s="90">
        <f>SUMIFS(工资明细!AX:AX,工资明细!BM:BM,$F$1,工资明细!H:H,A24,工资明细!I:I,B24,工资明细!J:J,C24)</f>
        <v>0</v>
      </c>
      <c r="O24" s="56"/>
    </row>
    <row r="25" customHeight="1" spans="1:15">
      <c r="A25" s="110" t="s">
        <v>46</v>
      </c>
      <c r="B25" s="111">
        <v>0</v>
      </c>
      <c r="C25" s="111">
        <v>0</v>
      </c>
      <c r="D25" s="112">
        <f>COUNTIFS(工资明细!BM:BM,$F$1,工资明细!H:H,A25,工资明细!I:I,B25,工资明细!J:J,C25)</f>
        <v>0</v>
      </c>
      <c r="E25" s="113">
        <f>SUMIFS(工资明细!AO:AO,工资明细!BM:BM,$F$1,工资明细!H:H,A25,工资明细!I:I,B25,工资明细!J:J,C25)</f>
        <v>0</v>
      </c>
      <c r="F25" s="113">
        <f>SUMIFS(工资明细!AP:AP,工资明细!BM:BM,$F$1,工资明细!H:H,A25,工资明细!I:I,B25,工资明细!J:J,C25)</f>
        <v>0</v>
      </c>
      <c r="G25" s="113">
        <f>SUMIFS(工资明细!AQ:AQ,工资明细!BM:BM,$F$1,工资明细!H:H,A25,工资明细!I:I,B25,工资明细!J:J,C25)</f>
        <v>0</v>
      </c>
      <c r="H25" s="113">
        <f>SUMIFS(工资明细!AR:AR,工资明细!BM:BM,$F$1,工资明细!H:H,A25,工资明细!I:I,B25,工资明细!J:J,C25)</f>
        <v>0</v>
      </c>
      <c r="I25" s="113">
        <f t="shared" si="1"/>
        <v>0</v>
      </c>
      <c r="J25" s="113">
        <f>SUMIFS(工资明细!AT:AT,工资明细!BM:BM,$F$1,工资明细!H:H,A25,工资明细!I:I,B25,工资明细!J:J,C25)</f>
        <v>0</v>
      </c>
      <c r="K25" s="113">
        <f>SUMIFS(工资明细!AU:AU,工资明细!BM:BM,$F$1,工资明细!H:H,A25,工资明细!I:I,B25,工资明细!J:J,C25)</f>
        <v>0</v>
      </c>
      <c r="L25" s="113">
        <f>SUMIFS(工资明细!AV:AV,工资明细!BM:BM,$F$1,工资明细!H:H,A25,工资明细!I:I,B25,工资明细!J:J,C25)</f>
        <v>0</v>
      </c>
      <c r="M25" s="114">
        <f>SUMIFS(工资明细!AW:AW,工资明细!BM:BM,$F$1,工资明细!H:H,A25,工资明细!I:I,B25,工资明细!J:J,C25)</f>
        <v>0</v>
      </c>
      <c r="N25" s="115">
        <f>SUMIFS(工资明细!AX:AX,工资明细!BM:BM,$F$1,工资明细!H:H,A25,工资明细!I:I,B25,工资明细!J:J,C25)</f>
        <v>0</v>
      </c>
      <c r="O25" s="56"/>
    </row>
    <row r="26" customHeight="1" spans="1:15">
      <c r="A26" s="42" t="s">
        <v>47</v>
      </c>
      <c r="B26" s="43"/>
      <c r="C26" s="43"/>
      <c r="D26" s="48">
        <f>SUM(D6:D25)</f>
        <v>0</v>
      </c>
      <c r="E26" s="49">
        <f>SUM(E6:E25)</f>
        <v>0</v>
      </c>
      <c r="F26" s="49">
        <f t="shared" ref="F26:N26" si="2">SUM(F6:F25)</f>
        <v>0</v>
      </c>
      <c r="G26" s="49">
        <f t="shared" si="2"/>
        <v>0</v>
      </c>
      <c r="H26" s="49">
        <f t="shared" si="2"/>
        <v>0</v>
      </c>
      <c r="I26" s="49">
        <f t="shared" si="2"/>
        <v>0</v>
      </c>
      <c r="J26" s="49">
        <f t="shared" si="2"/>
        <v>0</v>
      </c>
      <c r="K26" s="49">
        <f t="shared" si="2"/>
        <v>0</v>
      </c>
      <c r="L26" s="49">
        <f t="shared" si="2"/>
        <v>0</v>
      </c>
      <c r="M26" s="49">
        <f t="shared" si="2"/>
        <v>0</v>
      </c>
      <c r="N26" s="50">
        <f t="shared" si="2"/>
        <v>0</v>
      </c>
      <c r="O26" s="56"/>
    </row>
    <row r="27" customHeight="1" spans="1:15">
      <c r="O27" s="56"/>
    </row>
    <row r="28" customHeight="1" spans="1:15">
      <c r="A28" s="51" t="s">
        <v>48</v>
      </c>
      <c r="B28" s="51"/>
      <c r="C28" s="51"/>
      <c r="D28" s="51"/>
      <c r="E28" s="51"/>
      <c r="F28" s="51"/>
      <c r="G28" s="51"/>
      <c r="H28" s="52"/>
      <c r="I28" s="52"/>
      <c r="J28" s="52"/>
      <c r="O28" s="56"/>
    </row>
    <row r="29" s="29" customFormat="1" customHeight="1" spans="1:15">
      <c r="A29" s="36" t="s">
        <v>4</v>
      </c>
      <c r="B29" s="37" t="s">
        <v>5</v>
      </c>
      <c r="C29" s="37" t="s">
        <v>6</v>
      </c>
      <c r="D29" s="37" t="s">
        <v>7</v>
      </c>
      <c r="E29" s="37" t="s">
        <v>49</v>
      </c>
      <c r="F29" s="37" t="s">
        <v>50</v>
      </c>
      <c r="G29" s="38" t="s">
        <v>47</v>
      </c>
      <c r="O29" s="56"/>
    </row>
    <row r="30" s="29" customFormat="1" customHeight="1" spans="1:15">
      <c r="A30" s="39"/>
      <c r="B30" s="40"/>
      <c r="C30" s="40"/>
      <c r="D30" s="40" t="s">
        <v>7</v>
      </c>
      <c r="E30" s="40" t="s">
        <v>18</v>
      </c>
      <c r="F30" s="40" t="s">
        <v>18</v>
      </c>
      <c r="G30" s="41" t="s">
        <v>47</v>
      </c>
      <c r="O30" s="56"/>
    </row>
    <row r="31" s="29" customFormat="1" customHeight="1" spans="1:15">
      <c r="A31" s="116" t="s">
        <v>19</v>
      </c>
      <c r="B31" s="117"/>
      <c r="C31" s="117"/>
      <c r="D31" s="100">
        <f>COUNTIFS(工资明细!BM:BM,$F$1,工资明细!H:H,A31,工资明细!I:I,B31,工资明细!J:J,C31)</f>
        <v>0</v>
      </c>
      <c r="E31" s="101">
        <f>SUMIFS(工资明细!BE:BE,工资明细!BM:BM,$F$1,工资明细!H:H,A31,工资明细!I:I,B31,工资明细!J:J,C31)</f>
        <v>0</v>
      </c>
      <c r="F31" s="102">
        <f>SUMIFS(工资明细!AT:AT,工资明细!BM:BM,$F$1,工资明细!H:H,A31,工资明细!I:I,B31,工资明细!J:J,C31)</f>
        <v>0</v>
      </c>
      <c r="G31" s="105">
        <f t="shared" ref="G31:G36" si="3">SUM(E31:F31)</f>
        <v>0</v>
      </c>
      <c r="O31" s="56"/>
    </row>
    <row r="32" s="29" customFormat="1" customHeight="1" spans="1:15">
      <c r="A32" s="108" t="s">
        <v>20</v>
      </c>
      <c r="B32" s="118"/>
      <c r="C32" s="118"/>
      <c r="D32" s="87">
        <f>COUNTIFS(工资明细!BM:BM,$F$1,工资明细!H:H,A32,工资明细!I:I,B32,工资明细!J:J,C32)</f>
        <v>0</v>
      </c>
      <c r="E32" s="88">
        <f>SUMIFS(工资明细!BE:BE,工资明细!BM:BM,$F$1,工资明细!H:H,A32,工资明细!I:I,B32,工资明细!J:J,C32)</f>
        <v>0</v>
      </c>
      <c r="F32" s="89">
        <f>SUMIFS(工资明细!AT:AT,工资明细!BM:BM,$F$1,工资明细!H:H,A32,工资明细!I:I,B32,工资明细!J:J,C32)</f>
        <v>0</v>
      </c>
      <c r="G32" s="92">
        <f t="shared" si="3"/>
        <v>0</v>
      </c>
      <c r="O32" s="56"/>
    </row>
    <row r="33" s="29" customFormat="1" customHeight="1" spans="1:15">
      <c r="A33" s="108" t="s">
        <v>21</v>
      </c>
      <c r="B33" s="118" t="s">
        <v>22</v>
      </c>
      <c r="C33" s="118"/>
      <c r="D33" s="87">
        <f>COUNTIFS(工资明细!BM:BM,$F$1,工资明细!H:H,A33,工资明细!I:I,B33,工资明细!J:J,C33)</f>
        <v>0</v>
      </c>
      <c r="E33" s="88">
        <f>SUMIFS(工资明细!BE:BE,工资明细!BM:BM,$F$1,工资明细!H:H,A33,工资明细!I:I,B33,工资明细!J:J,C33)</f>
        <v>0</v>
      </c>
      <c r="F33" s="89">
        <f>SUMIFS(工资明细!AT:AT,工资明细!BM:BM,$F$1,工资明细!H:H,A33,工资明细!I:I,B33,工资明细!J:J,C33)</f>
        <v>0</v>
      </c>
      <c r="G33" s="92">
        <f t="shared" si="3"/>
        <v>0</v>
      </c>
      <c r="O33" s="56"/>
    </row>
    <row r="34" s="29" customFormat="1" customHeight="1" spans="1:15">
      <c r="A34" s="108" t="s">
        <v>23</v>
      </c>
      <c r="B34" s="118" t="s">
        <v>24</v>
      </c>
      <c r="C34" s="118"/>
      <c r="D34" s="87">
        <f>COUNTIFS(工资明细!BM:BM,$F$1,工资明细!H:H,A34,工资明细!I:I,B34,工资明细!J:J,C34)</f>
        <v>0</v>
      </c>
      <c r="E34" s="88">
        <f>SUMIFS(工资明细!BE:BE,工资明细!BM:BM,$F$1,工资明细!H:H,A34,工资明细!I:I,B34,工资明细!J:J,C34)</f>
        <v>0</v>
      </c>
      <c r="F34" s="89">
        <f>SUMIFS(工资明细!AT:AT,工资明细!BM:BM,$F$1,工资明细!H:H,A34,工资明细!I:I,B34,工资明细!J:J,C34)</f>
        <v>0</v>
      </c>
      <c r="G34" s="92">
        <f t="shared" si="3"/>
        <v>0</v>
      </c>
      <c r="O34" s="56"/>
    </row>
    <row r="35" s="29" customFormat="1" customHeight="1" spans="1:15">
      <c r="A35" s="108" t="s">
        <v>23</v>
      </c>
      <c r="B35" s="118" t="s">
        <v>25</v>
      </c>
      <c r="C35" s="118" t="s">
        <v>26</v>
      </c>
      <c r="D35" s="87">
        <f>COUNTIFS(工资明细!BM:BM,$F$1,工资明细!H:H,A35,工资明细!I:I,B35,工资明细!J:J,C35)</f>
        <v>0</v>
      </c>
      <c r="E35" s="88">
        <f>SUMIFS(工资明细!BE:BE,工资明细!BM:BM,$F$1,工资明细!H:H,A35,工资明细!I:I,B35,工资明细!J:J,C35)</f>
        <v>0</v>
      </c>
      <c r="F35" s="89">
        <f>SUMIFS(工资明细!AT:AT,工资明细!BM:BM,$F$1,工资明细!H:H,A35,工资明细!I:I,B35,工资明细!J:J,C35)</f>
        <v>0</v>
      </c>
      <c r="G35" s="92">
        <f t="shared" si="3"/>
        <v>0</v>
      </c>
      <c r="O35" s="56"/>
    </row>
    <row r="36" s="29" customFormat="1" customHeight="1" spans="1:15">
      <c r="A36" s="108" t="s">
        <v>23</v>
      </c>
      <c r="B36" s="118" t="s">
        <v>25</v>
      </c>
      <c r="C36" s="118" t="s">
        <v>27</v>
      </c>
      <c r="D36" s="87">
        <f>COUNTIFS(工资明细!BM:BM,$F$1,工资明细!H:H,A36,工资明细!I:I,B36,工资明细!J:J,C36)</f>
        <v>0</v>
      </c>
      <c r="E36" s="88">
        <f>SUMIFS(工资明细!BE:BE,工资明细!BM:BM,$F$1,工资明细!H:H,A36,工资明细!I:I,B36,工资明细!J:J,C36)</f>
        <v>0</v>
      </c>
      <c r="F36" s="89">
        <f>SUMIFS(工资明细!AT:AT,工资明细!BM:BM,$F$1,工资明细!H:H,A36,工资明细!I:I,B36,工资明细!J:J,C36)</f>
        <v>0</v>
      </c>
      <c r="G36" s="92">
        <f t="shared" si="3"/>
        <v>0</v>
      </c>
      <c r="O36" s="56"/>
    </row>
    <row r="37" s="29" customFormat="1" customHeight="1" spans="1:15">
      <c r="A37" s="108" t="s">
        <v>28</v>
      </c>
      <c r="B37" s="118"/>
      <c r="C37" s="118"/>
      <c r="D37" s="87">
        <f>COUNTIFS(工资明细!BM:BM,$F$1,工资明细!H:H,A37,工资明细!I:I,B37,工资明细!J:J,C37)</f>
        <v>0</v>
      </c>
      <c r="E37" s="88">
        <f>SUMIFS(工资明细!BE:BE,工资明细!BM:BM,$F$1,工资明细!H:H,A37,工资明细!I:I,B37,工资明细!J:J,C37)</f>
        <v>0</v>
      </c>
      <c r="F37" s="89">
        <f>SUMIFS(工资明细!AT:AT,工资明细!BM:BM,$F$1,工资明细!H:H,A37,工资明细!I:I,B37,工资明细!J:J,C37)</f>
        <v>0</v>
      </c>
      <c r="G37" s="92">
        <f t="shared" ref="G37:G50" si="4">SUM(E37:F37)</f>
        <v>0</v>
      </c>
      <c r="O37" s="56"/>
    </row>
    <row r="38" s="29" customFormat="1" customHeight="1" spans="1:15">
      <c r="A38" s="108" t="s">
        <v>29</v>
      </c>
      <c r="B38" s="118" t="s">
        <v>30</v>
      </c>
      <c r="C38" s="118" t="s">
        <v>31</v>
      </c>
      <c r="D38" s="87">
        <f>COUNTIFS(工资明细!BM:BM,$F$1,工资明细!H:H,A38,工资明细!I:I,B38,工资明细!J:J,C38)</f>
        <v>0</v>
      </c>
      <c r="E38" s="88">
        <f>SUMIFS(工资明细!BE:BE,工资明细!BM:BM,$F$1,工资明细!H:H,A38,工资明细!I:I,B38,工资明细!J:J,C38)</f>
        <v>0</v>
      </c>
      <c r="F38" s="89">
        <f>SUMIFS(工资明细!AT:AT,工资明细!BM:BM,$F$1,工资明细!H:H,A38,工资明细!I:I,B38,工资明细!J:J,C38)</f>
        <v>0</v>
      </c>
      <c r="G38" s="92">
        <f t="shared" si="4"/>
        <v>0</v>
      </c>
      <c r="O38" s="56"/>
    </row>
    <row r="39" s="29" customFormat="1" customHeight="1" spans="1:15">
      <c r="A39" s="108" t="s">
        <v>29</v>
      </c>
      <c r="B39" s="118" t="s">
        <v>32</v>
      </c>
      <c r="C39" s="118" t="s">
        <v>33</v>
      </c>
      <c r="D39" s="87">
        <f>COUNTIFS(工资明细!BM:BM,$F$1,工资明细!H:H,A39,工资明细!I:I,B39,工资明细!J:J,C39)</f>
        <v>0</v>
      </c>
      <c r="E39" s="88">
        <f>SUMIFS(工资明细!BE:BE,工资明细!BM:BM,$F$1,工资明细!H:H,A39,工资明细!I:I,B39,工资明细!J:J,C39)</f>
        <v>0</v>
      </c>
      <c r="F39" s="89">
        <f>SUMIFS(工资明细!AT:AT,工资明细!BM:BM,$F$1,工资明细!H:H,A39,工资明细!I:I,B39,工资明细!J:J,C39)</f>
        <v>0</v>
      </c>
      <c r="G39" s="92">
        <f t="shared" si="4"/>
        <v>0</v>
      </c>
      <c r="O39" s="56"/>
    </row>
    <row r="40" s="29" customFormat="1" customHeight="1" spans="1:15">
      <c r="A40" s="108" t="s">
        <v>29</v>
      </c>
      <c r="B40" s="118"/>
      <c r="C40" s="118"/>
      <c r="D40" s="87">
        <f>COUNTIFS(工资明细!BM:BM,$F$1,工资明细!H:H,A40,工资明细!I:I,B40,工资明细!J:J,C40)</f>
        <v>0</v>
      </c>
      <c r="E40" s="88">
        <f>SUMIFS(工资明细!BE:BE,工资明细!BM:BM,$F$1,工资明细!H:H,A40,工资明细!I:I,B40,工资明细!J:J,C40)</f>
        <v>0</v>
      </c>
      <c r="F40" s="89">
        <f>SUMIFS(工资明细!AT:AT,工资明细!BM:BM,$F$1,工资明细!H:H,A40,工资明细!I:I,B40,工资明细!J:J,C40)</f>
        <v>0</v>
      </c>
      <c r="G40" s="92">
        <f t="shared" si="4"/>
        <v>0</v>
      </c>
      <c r="O40" s="56"/>
    </row>
    <row r="41" s="29" customFormat="1" customHeight="1" spans="1:15">
      <c r="A41" s="108" t="s">
        <v>34</v>
      </c>
      <c r="B41" s="118" t="s">
        <v>35</v>
      </c>
      <c r="C41" s="118" t="s">
        <v>36</v>
      </c>
      <c r="D41" s="87">
        <f>COUNTIFS(工资明细!BM:BM,$F$1,工资明细!H:H,A41,工资明细!I:I,B41,工资明细!J:J,C41)</f>
        <v>0</v>
      </c>
      <c r="E41" s="88">
        <f>SUMIFS(工资明细!BE:BE,工资明细!BM:BM,$F$1,工资明细!H:H,A41,工资明细!I:I,B41,工资明细!J:J,C41)</f>
        <v>0</v>
      </c>
      <c r="F41" s="89">
        <f>SUMIFS(工资明细!AT:AT,工资明细!BM:BM,$F$1,工资明细!H:H,A41,工资明细!I:I,B41,工资明细!J:J,C41)</f>
        <v>0</v>
      </c>
      <c r="G41" s="92">
        <f t="shared" si="4"/>
        <v>0</v>
      </c>
      <c r="O41" s="56"/>
    </row>
    <row r="42" s="29" customFormat="1" customHeight="1" spans="1:15">
      <c r="A42" s="108" t="s">
        <v>34</v>
      </c>
      <c r="B42" s="118" t="s">
        <v>35</v>
      </c>
      <c r="C42" s="118" t="s">
        <v>37</v>
      </c>
      <c r="D42" s="87">
        <f>COUNTIFS(工资明细!BM:BM,$F$1,工资明细!H:H,A42,工资明细!I:I,B42,工资明细!J:J,C42)</f>
        <v>0</v>
      </c>
      <c r="E42" s="88">
        <f>SUMIFS(工资明细!BE:BE,工资明细!BM:BM,$F$1,工资明细!H:H,A42,工资明细!I:I,B42,工资明细!J:J,C42)</f>
        <v>0</v>
      </c>
      <c r="F42" s="89">
        <f>SUMIFS(工资明细!AT:AT,工资明细!BM:BM,$F$1,工资明细!H:H,A42,工资明细!I:I,B42,工资明细!J:J,C42)</f>
        <v>0</v>
      </c>
      <c r="G42" s="92">
        <f t="shared" si="4"/>
        <v>0</v>
      </c>
    </row>
    <row r="43" s="29" customFormat="1" customHeight="1" spans="1:15">
      <c r="A43" s="108" t="s">
        <v>34</v>
      </c>
      <c r="B43" s="118" t="s">
        <v>38</v>
      </c>
      <c r="C43" s="118" t="s">
        <v>39</v>
      </c>
      <c r="D43" s="87">
        <f>COUNTIFS(工资明细!BM:BM,$F$1,工资明细!H:H,A43,工资明细!I:I,B43,工资明细!J:J,C43)</f>
        <v>0</v>
      </c>
      <c r="E43" s="88">
        <f>SUMIFS(工资明细!BE:BE,工资明细!BM:BM,$F$1,工资明细!H:H,A43,工资明细!I:I,B43,工资明细!J:J,C43)</f>
        <v>0</v>
      </c>
      <c r="F43" s="89">
        <f>SUMIFS(工资明细!AT:AT,工资明细!BM:BM,$F$1,工资明细!H:H,A43,工资明细!I:I,B43,工资明细!J:J,C43)</f>
        <v>0</v>
      </c>
      <c r="G43" s="92">
        <f t="shared" si="4"/>
        <v>0</v>
      </c>
    </row>
    <row r="44" s="29" customFormat="1" ht="20" customHeight="1" spans="1:15">
      <c r="A44" s="108" t="s">
        <v>34</v>
      </c>
      <c r="B44" s="118" t="s">
        <v>38</v>
      </c>
      <c r="C44" s="118" t="s">
        <v>40</v>
      </c>
      <c r="D44" s="87">
        <f>COUNTIFS(工资明细!BM:BM,$F$1,工资明细!H:H,A44,工资明细!I:I,B44,工资明细!J:J,C44)</f>
        <v>0</v>
      </c>
      <c r="E44" s="88">
        <f>SUMIFS(工资明细!BE:BE,工资明细!BM:BM,$F$1,工资明细!H:H,A44,工资明细!I:I,B44,工资明细!J:J,C44)</f>
        <v>0</v>
      </c>
      <c r="F44" s="89">
        <f>SUMIFS(工资明细!AT:AT,工资明细!BM:BM,$F$1,工资明细!H:H,A44,工资明细!I:I,B44,工资明细!J:J,C44)</f>
        <v>0</v>
      </c>
      <c r="G44" s="92">
        <f t="shared" si="4"/>
        <v>0</v>
      </c>
    </row>
    <row r="45" s="29" customFormat="1" customHeight="1" spans="1:15">
      <c r="A45" s="108" t="s">
        <v>34</v>
      </c>
      <c r="B45" s="118" t="s">
        <v>38</v>
      </c>
      <c r="C45" s="118" t="s">
        <v>41</v>
      </c>
      <c r="D45" s="87">
        <f>COUNTIFS(工资明细!BM:BM,$F$1,工资明细!H:H,A45,工资明细!I:I,B45,工资明细!J:J,C45)</f>
        <v>0</v>
      </c>
      <c r="E45" s="88">
        <f>SUMIFS(工资明细!BE:BE,工资明细!BM:BM,$F$1,工资明细!H:H,A45,工资明细!I:I,B45,工资明细!J:J,C45)</f>
        <v>0</v>
      </c>
      <c r="F45" s="89">
        <f>SUMIFS(工资明细!AT:AT,工资明细!BM:BM,$F$1,工资明细!H:H,A45,工资明细!I:I,B45,工资明细!J:J,C45)</f>
        <v>0</v>
      </c>
      <c r="G45" s="92">
        <f t="shared" si="4"/>
        <v>0</v>
      </c>
    </row>
    <row r="46" s="29" customFormat="1" customHeight="1" spans="1:15">
      <c r="A46" s="108" t="s">
        <v>34</v>
      </c>
      <c r="B46" s="118" t="s">
        <v>38</v>
      </c>
      <c r="C46" s="118" t="s">
        <v>42</v>
      </c>
      <c r="D46" s="87">
        <f>COUNTIFS(工资明细!BM:BM,$F$1,工资明细!H:H,A46,工资明细!I:I,B46,工资明细!J:J,C46)</f>
        <v>0</v>
      </c>
      <c r="E46" s="88">
        <f>SUMIFS(工资明细!BE:BE,工资明细!BM:BM,$F$1,工资明细!H:H,A46,工资明细!I:I,B46,工资明细!J:J,C46)</f>
        <v>0</v>
      </c>
      <c r="F46" s="89">
        <f>SUMIFS(工资明细!AT:AT,工资明细!BM:BM,$F$1,工资明细!H:H,A46,工资明细!I:I,B46,工资明细!J:J,C46)</f>
        <v>0</v>
      </c>
      <c r="G46" s="92">
        <f t="shared" si="4"/>
        <v>0</v>
      </c>
    </row>
    <row r="47" s="29" customFormat="1" customHeight="1" spans="1:15">
      <c r="A47" s="108" t="s">
        <v>34</v>
      </c>
      <c r="B47" s="118" t="s">
        <v>43</v>
      </c>
      <c r="C47" s="118"/>
      <c r="D47" s="87">
        <f>COUNTIFS(工资明细!BM:BM,$F$1,工资明细!H:H,A47,工资明细!I:I,B47,工资明细!J:J,C47)</f>
        <v>0</v>
      </c>
      <c r="E47" s="88">
        <f>SUMIFS(工资明细!BE:BE,工资明细!BM:BM,$F$1,工资明细!H:H,A47,工资明细!I:I,B47,工资明细!J:J,C47)</f>
        <v>0</v>
      </c>
      <c r="F47" s="89">
        <f>SUMIFS(工资明细!AT:AT,工资明细!BM:BM,$F$1,工资明细!H:H,A47,工资明细!I:I,B47,工资明细!J:J,C47)</f>
        <v>0</v>
      </c>
      <c r="G47" s="92">
        <f t="shared" si="4"/>
        <v>0</v>
      </c>
    </row>
    <row r="48" s="29" customFormat="1" customHeight="1" spans="1:15">
      <c r="A48" s="108" t="s">
        <v>44</v>
      </c>
      <c r="B48" s="118"/>
      <c r="C48" s="118"/>
      <c r="D48" s="87">
        <f>COUNTIFS(工资明细!BM:BM,$F$1,工资明细!H:H,A48,工资明细!I:I,B48,工资明细!J:J,C48)</f>
        <v>0</v>
      </c>
      <c r="E48" s="88">
        <f>SUMIFS(工资明细!BE:BE,工资明细!BM:BM,$F$1,工资明细!H:H,A48,工资明细!I:I,B48,工资明细!J:J,C48)</f>
        <v>0</v>
      </c>
      <c r="F48" s="89">
        <f>SUMIFS(工资明细!AT:AT,工资明细!BM:BM,$F$1,工资明细!H:H,A48,工资明细!I:I,B48,工资明细!J:J,C48)</f>
        <v>0</v>
      </c>
      <c r="G48" s="92">
        <f t="shared" si="4"/>
        <v>0</v>
      </c>
    </row>
    <row r="49" s="29" customFormat="1" customHeight="1" spans="1:12">
      <c r="A49" s="108" t="s">
        <v>45</v>
      </c>
      <c r="B49" s="118"/>
      <c r="C49" s="118"/>
      <c r="D49" s="87">
        <f>COUNTIFS(工资明细!BM:BM,$F$1,工资明细!H:H,A49,工资明细!I:I,B49,工资明细!J:J,C49)</f>
        <v>0</v>
      </c>
      <c r="E49" s="88">
        <f>SUMIFS(工资明细!BE:BE,工资明细!BM:BM,$F$1,工资明细!H:H,A49,工资明细!I:I,B49,工资明细!J:J,C49)</f>
        <v>0</v>
      </c>
      <c r="F49" s="89">
        <f>SUMIFS(工资明细!AT:AT,工资明细!BM:BM,$F$1,工资明细!H:H,A49,工资明细!I:I,B49,工资明细!J:J,C49)</f>
        <v>0</v>
      </c>
      <c r="G49" s="92">
        <f t="shared" si="4"/>
        <v>0</v>
      </c>
    </row>
    <row r="50" s="29" customFormat="1" customHeight="1" spans="1:12">
      <c r="A50" s="110" t="s">
        <v>46</v>
      </c>
      <c r="B50" s="119"/>
      <c r="C50" s="119"/>
      <c r="D50" s="112">
        <f>COUNTIFS(工资明细!BM:BM,$F$1,工资明细!H:H,A50,工资明细!I:I,B50,工资明细!J:J,C50)</f>
        <v>0</v>
      </c>
      <c r="E50" s="113">
        <f>SUMIFS(工资明细!BE:BE,工资明细!BM:BM,$F$1,工资明细!H:H,A50,工资明细!I:I,B50,工资明细!J:J,C50)</f>
        <v>0</v>
      </c>
      <c r="F50" s="114">
        <f>SUMIFS(工资明细!AT:AT,工资明细!BM:BM,$F$1,工资明细!H:H,A50,工资明细!I:I,B50,工资明细!J:J,C50)</f>
        <v>0</v>
      </c>
      <c r="G50" s="120">
        <f t="shared" si="4"/>
        <v>0</v>
      </c>
    </row>
    <row r="51" s="29" customFormat="1" customHeight="1" spans="1:12">
      <c r="A51" s="42" t="s">
        <v>47</v>
      </c>
      <c r="B51" s="43"/>
      <c r="C51" s="43"/>
      <c r="D51" s="48">
        <f>SUM(D31:D50)</f>
        <v>0</v>
      </c>
      <c r="E51" s="121">
        <f>SUM(E31:E50)</f>
        <v>0</v>
      </c>
      <c r="F51" s="121">
        <f>SUM(F31:F50)</f>
        <v>0</v>
      </c>
      <c r="G51" s="122">
        <f>SUM(G31:G50)</f>
        <v>0</v>
      </c>
    </row>
    <row r="53" customHeight="1" spans="1:12">
      <c r="A53" s="80" t="s">
        <v>51</v>
      </c>
      <c r="B53" s="80"/>
      <c r="C53" s="80"/>
      <c r="D53" s="80"/>
      <c r="E53" s="80"/>
      <c r="F53" s="80"/>
      <c r="G53" s="80"/>
    </row>
    <row r="54" s="29" customFormat="1" customHeight="1" spans="1:12">
      <c r="A54" s="36" t="s">
        <v>4</v>
      </c>
      <c r="B54" s="37" t="s">
        <v>5</v>
      </c>
      <c r="C54" s="37" t="s">
        <v>6</v>
      </c>
      <c r="D54" s="37" t="s">
        <v>7</v>
      </c>
      <c r="E54" s="37" t="s">
        <v>52</v>
      </c>
      <c r="F54" s="37" t="s">
        <v>53</v>
      </c>
      <c r="G54" s="37" t="s">
        <v>54</v>
      </c>
      <c r="H54" s="37" t="s">
        <v>55</v>
      </c>
      <c r="I54" s="37" t="s">
        <v>56</v>
      </c>
      <c r="J54" s="37" t="s">
        <v>57</v>
      </c>
      <c r="K54" s="37" t="s">
        <v>58</v>
      </c>
      <c r="L54" s="38" t="s">
        <v>47</v>
      </c>
    </row>
    <row r="55" s="29" customFormat="1" customHeight="1" spans="1:12">
      <c r="A55" s="39"/>
      <c r="B55" s="40"/>
      <c r="C55" s="40"/>
      <c r="D55" s="40"/>
      <c r="E55" s="40" t="s">
        <v>18</v>
      </c>
      <c r="F55" s="40" t="s">
        <v>18</v>
      </c>
      <c r="G55" s="40" t="s">
        <v>18</v>
      </c>
      <c r="H55" s="40" t="s">
        <v>18</v>
      </c>
      <c r="I55" s="40" t="s">
        <v>18</v>
      </c>
      <c r="J55" s="40" t="s">
        <v>18</v>
      </c>
      <c r="K55" s="40" t="s">
        <v>18</v>
      </c>
      <c r="L55" s="41"/>
    </row>
    <row r="56" s="29" customFormat="1" customHeight="1" spans="1:12">
      <c r="A56" s="116" t="s">
        <v>19</v>
      </c>
      <c r="B56" s="117"/>
      <c r="C56" s="117"/>
      <c r="D56" s="100">
        <f>COUNTIFS(工资明细!BM:BM,$F$1,工资明细!H:H,A56,工资明细!I:I,B56,工资明细!J:J,C56)</f>
        <v>0</v>
      </c>
      <c r="E56" s="101">
        <f>SUMIFS(工资明细!AY:AY,工资明细!BM:BM,$F$1,工资明细!H:H,A56,工资明细!I:I,B56,工资明细!J:J,C56)</f>
        <v>0</v>
      </c>
      <c r="F56" s="102">
        <f>SUMIFS(工资明细!AZ:AZ,工资明细!BM:BM,$F$1,工资明细!H:H,A56,工资明细!I:I,B56,工资明细!J:J,C56)</f>
        <v>0</v>
      </c>
      <c r="G56" s="102">
        <f>SUMIFS(工资明细!BA:BA,工资明细!BM:BM,$F$1,工资明细!H:H,A56,工资明细!I:I,B56,工资明细!J:J,C56)</f>
        <v>0</v>
      </c>
      <c r="H56" s="102">
        <f>SUMIFS(工资明细!BB:BB,工资明细!BM:BM,$F$1,工资明细!H:H,A56,工资明细!I:I,B56,工资明细!J:J,C56)</f>
        <v>0</v>
      </c>
      <c r="I56" s="102">
        <f>SUMIFS(工资明细!BC:BC,工资明细!BM:BM,$F$1,工资明细!H:H,A56,工资明细!I:I,B56,工资明细!J:J,C56)</f>
        <v>0</v>
      </c>
      <c r="J56" s="106">
        <f t="shared" ref="J56:J61" si="5">SUM(E56:I56)</f>
        <v>0</v>
      </c>
      <c r="K56" s="107">
        <f>SUMIFS(工资明细!AS:AS,工资明细!BM:BM,$F$1,工资明细!H:H,A56,工资明细!I:I,B56,工资明细!J:J,C56)</f>
        <v>0</v>
      </c>
      <c r="L56" s="105">
        <f t="shared" ref="L56:L61" si="6">SUM(J56:K56)</f>
        <v>0</v>
      </c>
    </row>
    <row r="57" s="29" customFormat="1" customHeight="1" spans="1:12">
      <c r="A57" s="108" t="s">
        <v>20</v>
      </c>
      <c r="B57" s="118"/>
      <c r="C57" s="118"/>
      <c r="D57" s="87">
        <f>COUNTIFS(工资明细!BM:BM,$F$1,工资明细!H:H,A57,工资明细!I:I,B57,工资明细!J:J,C57)</f>
        <v>0</v>
      </c>
      <c r="E57" s="88">
        <f>SUMIFS(工资明细!AY:AY,工资明细!BM:BM,$F$1,工资明细!H:H,A57,工资明细!I:I,B57,工资明细!J:J,C57)</f>
        <v>0</v>
      </c>
      <c r="F57" s="89">
        <f>SUMIFS(工资明细!AZ:AZ,工资明细!BM:BM,$F$1,工资明细!H:H,A57,工资明细!I:I,B57,工资明细!J:J,C57)</f>
        <v>0</v>
      </c>
      <c r="G57" s="89">
        <f>SUMIFS(工资明细!BA:BA,工资明细!BM:BM,$F$1,工资明细!H:H,A57,工资明细!I:I,B57,工资明细!J:J,C57)</f>
        <v>0</v>
      </c>
      <c r="H57" s="89">
        <f>SUMIFS(工资明细!BB:BB,工资明细!BM:BM,$F$1,工资明细!H:H,A57,工资明细!I:I,B57,工资明细!J:J,C57)</f>
        <v>0</v>
      </c>
      <c r="I57" s="89">
        <f>SUMIFS(工资明细!BC:BC,工资明细!BM:BM,$F$1,工资明细!H:H,A57,工资明细!I:I,B57,工资明细!J:J,C57)</f>
        <v>0</v>
      </c>
      <c r="J57" s="93">
        <f t="shared" si="5"/>
        <v>0</v>
      </c>
      <c r="K57" s="94">
        <f>SUMIFS(工资明细!AS:AS,工资明细!BM:BM,$F$1,工资明细!H:H,A57,工资明细!I:I,B57,工资明细!J:J,C57)</f>
        <v>0</v>
      </c>
      <c r="L57" s="92">
        <f t="shared" si="6"/>
        <v>0</v>
      </c>
    </row>
    <row r="58" s="29" customFormat="1" customHeight="1" spans="1:12">
      <c r="A58" s="108" t="s">
        <v>21</v>
      </c>
      <c r="B58" s="118" t="s">
        <v>22</v>
      </c>
      <c r="C58" s="118"/>
      <c r="D58" s="87">
        <f>COUNTIFS(工资明细!BM:BM,$F$1,工资明细!H:H,A58,工资明细!I:I,B58,工资明细!J:J,C58)</f>
        <v>0</v>
      </c>
      <c r="E58" s="88">
        <f>SUMIFS(工资明细!AY:AY,工资明细!BM:BM,$F$1,工资明细!H:H,A58,工资明细!I:I,B58,工资明细!J:J,C58)</f>
        <v>0</v>
      </c>
      <c r="F58" s="89">
        <f>SUMIFS(工资明细!AZ:AZ,工资明细!BM:BM,$F$1,工资明细!H:H,A58,工资明细!I:I,B58,工资明细!J:J,C58)</f>
        <v>0</v>
      </c>
      <c r="G58" s="89">
        <f>SUMIFS(工资明细!BA:BA,工资明细!BM:BM,$F$1,工资明细!H:H,A58,工资明细!I:I,B58,工资明细!J:J,C58)</f>
        <v>0</v>
      </c>
      <c r="H58" s="89">
        <f>SUMIFS(工资明细!BB:BB,工资明细!BM:BM,$F$1,工资明细!H:H,A58,工资明细!I:I,B58,工资明细!J:J,C58)</f>
        <v>0</v>
      </c>
      <c r="I58" s="89">
        <f>SUMIFS(工资明细!BC:BC,工资明细!BM:BM,$F$1,工资明细!H:H,A58,工资明细!I:I,B58,工资明细!J:J,C58)</f>
        <v>0</v>
      </c>
      <c r="J58" s="93">
        <f t="shared" si="5"/>
        <v>0</v>
      </c>
      <c r="K58" s="94">
        <f>SUMIFS(工资明细!AS:AS,工资明细!BM:BM,$F$1,工资明细!H:H,A58,工资明细!I:I,B58,工资明细!J:J,C58)</f>
        <v>0</v>
      </c>
      <c r="L58" s="92">
        <f t="shared" si="6"/>
        <v>0</v>
      </c>
    </row>
    <row r="59" s="29" customFormat="1" customHeight="1" spans="1:12">
      <c r="A59" s="108" t="s">
        <v>23</v>
      </c>
      <c r="B59" s="118" t="s">
        <v>24</v>
      </c>
      <c r="C59" s="118"/>
      <c r="D59" s="87">
        <f>COUNTIFS(工资明细!BM:BM,$F$1,工资明细!H:H,A59,工资明细!I:I,B59,工资明细!J:J,C59)</f>
        <v>0</v>
      </c>
      <c r="E59" s="88">
        <f>SUMIFS(工资明细!AY:AY,工资明细!BM:BM,$F$1,工资明细!H:H,A59,工资明细!I:I,B59,工资明细!J:J,C59)</f>
        <v>0</v>
      </c>
      <c r="F59" s="89">
        <f>SUMIFS(工资明细!AZ:AZ,工资明细!BM:BM,$F$1,工资明细!H:H,A59,工资明细!I:I,B59,工资明细!J:J,C59)</f>
        <v>0</v>
      </c>
      <c r="G59" s="89">
        <f>SUMIFS(工资明细!BA:BA,工资明细!BM:BM,$F$1,工资明细!H:H,A59,工资明细!I:I,B59,工资明细!J:J,C59)</f>
        <v>0</v>
      </c>
      <c r="H59" s="89">
        <f>SUMIFS(工资明细!BB:BB,工资明细!BM:BM,$F$1,工资明细!H:H,A59,工资明细!I:I,B59,工资明细!J:J,C59)</f>
        <v>0</v>
      </c>
      <c r="I59" s="89">
        <f>SUMIFS(工资明细!BC:BC,工资明细!BM:BM,$F$1,工资明细!H:H,A59,工资明细!I:I,B59,工资明细!J:J,C59)</f>
        <v>0</v>
      </c>
      <c r="J59" s="93">
        <f t="shared" si="5"/>
        <v>0</v>
      </c>
      <c r="K59" s="94">
        <f>SUMIFS(工资明细!AS:AS,工资明细!BM:BM,$F$1,工资明细!H:H,A59,工资明细!I:I,B59,工资明细!J:J,C59)</f>
        <v>0</v>
      </c>
      <c r="L59" s="92">
        <f t="shared" si="6"/>
        <v>0</v>
      </c>
    </row>
    <row r="60" s="29" customFormat="1" customHeight="1" spans="1:12">
      <c r="A60" s="108" t="s">
        <v>23</v>
      </c>
      <c r="B60" s="118" t="s">
        <v>25</v>
      </c>
      <c r="C60" s="118" t="s">
        <v>26</v>
      </c>
      <c r="D60" s="87">
        <f>COUNTIFS(工资明细!BM:BM,$F$1,工资明细!H:H,A60,工资明细!I:I,B60,工资明细!J:J,C60)</f>
        <v>0</v>
      </c>
      <c r="E60" s="88">
        <f>SUMIFS(工资明细!AY:AY,工资明细!BM:BM,$F$1,工资明细!H:H,A60,工资明细!I:I,B60,工资明细!J:J,C60)</f>
        <v>0</v>
      </c>
      <c r="F60" s="89">
        <f>SUMIFS(工资明细!AZ:AZ,工资明细!BM:BM,$F$1,工资明细!H:H,A60,工资明细!I:I,B60,工资明细!J:J,C60)</f>
        <v>0</v>
      </c>
      <c r="G60" s="89">
        <f>SUMIFS(工资明细!BA:BA,工资明细!BM:BM,$F$1,工资明细!H:H,A60,工资明细!I:I,B60,工资明细!J:J,C60)</f>
        <v>0</v>
      </c>
      <c r="H60" s="89">
        <f>SUMIFS(工资明细!BB:BB,工资明细!BM:BM,$F$1,工资明细!H:H,A60,工资明细!I:I,B60,工资明细!J:J,C60)</f>
        <v>0</v>
      </c>
      <c r="I60" s="89">
        <f>SUMIFS(工资明细!BC:BC,工资明细!BM:BM,$F$1,工资明细!H:H,A60,工资明细!I:I,B60,工资明细!J:J,C60)</f>
        <v>0</v>
      </c>
      <c r="J60" s="93">
        <f t="shared" si="5"/>
        <v>0</v>
      </c>
      <c r="K60" s="94">
        <f>SUMIFS(工资明细!AS:AS,工资明细!BM:BM,$F$1,工资明细!H:H,A60,工资明细!I:I,B60,工资明细!J:J,C60)</f>
        <v>0</v>
      </c>
      <c r="L60" s="92">
        <f t="shared" si="6"/>
        <v>0</v>
      </c>
    </row>
    <row r="61" s="29" customFormat="1" customHeight="1" spans="1:12">
      <c r="A61" s="108" t="s">
        <v>23</v>
      </c>
      <c r="B61" s="118" t="s">
        <v>25</v>
      </c>
      <c r="C61" s="118" t="s">
        <v>27</v>
      </c>
      <c r="D61" s="87">
        <f>COUNTIFS(工资明细!BM:BM,$F$1,工资明细!H:H,A61,工资明细!I:I,B61,工资明细!J:J,C61)</f>
        <v>0</v>
      </c>
      <c r="E61" s="88">
        <f>SUMIFS(工资明细!AY:AY,工资明细!BM:BM,$F$1,工资明细!H:H,A61,工资明细!I:I,B61,工资明细!J:J,C61)</f>
        <v>0</v>
      </c>
      <c r="F61" s="89">
        <f>SUMIFS(工资明细!AZ:AZ,工资明细!BM:BM,$F$1,工资明细!H:H,A61,工资明细!I:I,B61,工资明细!J:J,C61)</f>
        <v>0</v>
      </c>
      <c r="G61" s="89">
        <f>SUMIFS(工资明细!BA:BA,工资明细!BM:BM,$F$1,工资明细!H:H,A61,工资明细!I:I,B61,工资明细!J:J,C61)</f>
        <v>0</v>
      </c>
      <c r="H61" s="89">
        <f>SUMIFS(工资明细!BB:BB,工资明细!BM:BM,$F$1,工资明细!H:H,A61,工资明细!I:I,B61,工资明细!J:J,C61)</f>
        <v>0</v>
      </c>
      <c r="I61" s="89">
        <f>SUMIFS(工资明细!BC:BC,工资明细!BM:BM,$F$1,工资明细!H:H,A61,工资明细!I:I,B61,工资明细!J:J,C61)</f>
        <v>0</v>
      </c>
      <c r="J61" s="93">
        <f t="shared" si="5"/>
        <v>0</v>
      </c>
      <c r="K61" s="94">
        <f>SUMIFS(工资明细!AS:AS,工资明细!BM:BM,$F$1,工资明细!H:H,A61,工资明细!I:I,B61,工资明细!J:J,C61)</f>
        <v>0</v>
      </c>
      <c r="L61" s="92">
        <f t="shared" si="6"/>
        <v>0</v>
      </c>
    </row>
    <row r="62" s="29" customFormat="1" customHeight="1" spans="1:12">
      <c r="A62" s="108" t="s">
        <v>28</v>
      </c>
      <c r="B62" s="118"/>
      <c r="C62" s="118"/>
      <c r="D62" s="87">
        <f>COUNTIFS(工资明细!BM:BM,$F$1,工资明细!H:H,A62,工资明细!I:I,B62,工资明细!J:J,C62)</f>
        <v>0</v>
      </c>
      <c r="E62" s="88">
        <f>SUMIFS(工资明细!AY:AY,工资明细!BM:BM,$F$1,工资明细!H:H,A62,工资明细!I:I,B62,工资明细!J:J,C62)</f>
        <v>0</v>
      </c>
      <c r="F62" s="89">
        <f>SUMIFS(工资明细!AZ:AZ,工资明细!BM:BM,$F$1,工资明细!H:H,A62,工资明细!I:I,B62,工资明细!J:J,C62)</f>
        <v>0</v>
      </c>
      <c r="G62" s="89">
        <f>SUMIFS(工资明细!BA:BA,工资明细!BM:BM,$F$1,工资明细!H:H,A62,工资明细!I:I,B62,工资明细!J:J,C62)</f>
        <v>0</v>
      </c>
      <c r="H62" s="89">
        <f>SUMIFS(工资明细!BB:BB,工资明细!BM:BM,$F$1,工资明细!H:H,A62,工资明细!I:I,B62,工资明细!J:J,C62)</f>
        <v>0</v>
      </c>
      <c r="I62" s="89">
        <f>SUMIFS(工资明细!BC:BC,工资明细!BM:BM,$F$1,工资明细!H:H,A62,工资明细!I:I,B62,工资明细!J:J,C62)</f>
        <v>0</v>
      </c>
      <c r="J62" s="93">
        <f t="shared" ref="J62:J75" si="7">SUM(E62:I62)</f>
        <v>0</v>
      </c>
      <c r="K62" s="94">
        <f>SUMIFS(工资明细!AS:AS,工资明细!BM:BM,$F$1,工资明细!H:H,A62,工资明细!I:I,B62,工资明细!J:J,C62)</f>
        <v>0</v>
      </c>
      <c r="L62" s="92">
        <f t="shared" ref="L62:L75" si="8">SUM(J62:K62)</f>
        <v>0</v>
      </c>
    </row>
    <row r="63" s="29" customFormat="1" customHeight="1" spans="1:12">
      <c r="A63" s="108" t="s">
        <v>29</v>
      </c>
      <c r="B63" s="118" t="s">
        <v>30</v>
      </c>
      <c r="C63" s="118" t="s">
        <v>31</v>
      </c>
      <c r="D63" s="87">
        <f>COUNTIFS(工资明细!BM:BM,$F$1,工资明细!H:H,A63,工资明细!I:I,B63,工资明细!J:J,C63)</f>
        <v>0</v>
      </c>
      <c r="E63" s="88">
        <f>SUMIFS(工资明细!AY:AY,工资明细!BM:BM,$F$1,工资明细!H:H,A63,工资明细!I:I,B63,工资明细!J:J,C63)</f>
        <v>0</v>
      </c>
      <c r="F63" s="89">
        <f>SUMIFS(工资明细!AZ:AZ,工资明细!BM:BM,$F$1,工资明细!H:H,A63,工资明细!I:I,B63,工资明细!J:J,C63)</f>
        <v>0</v>
      </c>
      <c r="G63" s="89">
        <f>SUMIFS(工资明细!BA:BA,工资明细!BM:BM,$F$1,工资明细!H:H,A63,工资明细!I:I,B63,工资明细!J:J,C63)</f>
        <v>0</v>
      </c>
      <c r="H63" s="89">
        <f>SUMIFS(工资明细!BB:BB,工资明细!BM:BM,$F$1,工资明细!H:H,A63,工资明细!I:I,B63,工资明细!J:J,C63)</f>
        <v>0</v>
      </c>
      <c r="I63" s="89">
        <f>SUMIFS(工资明细!BC:BC,工资明细!BM:BM,$F$1,工资明细!H:H,A63,工资明细!I:I,B63,工资明细!J:J,C63)</f>
        <v>0</v>
      </c>
      <c r="J63" s="93">
        <f t="shared" si="7"/>
        <v>0</v>
      </c>
      <c r="K63" s="94">
        <f>SUMIFS(工资明细!AS:AS,工资明细!BM:BM,$F$1,工资明细!H:H,A63,工资明细!I:I,B63,工资明细!J:J,C63)</f>
        <v>0</v>
      </c>
      <c r="L63" s="92">
        <f t="shared" si="8"/>
        <v>0</v>
      </c>
    </row>
    <row r="64" s="29" customFormat="1" customHeight="1" spans="1:12">
      <c r="A64" s="108" t="s">
        <v>29</v>
      </c>
      <c r="B64" s="118" t="s">
        <v>32</v>
      </c>
      <c r="C64" s="118" t="s">
        <v>33</v>
      </c>
      <c r="D64" s="87">
        <f>COUNTIFS(工资明细!BM:BM,$F$1,工资明细!H:H,A64,工资明细!I:I,B64,工资明细!J:J,C64)</f>
        <v>0</v>
      </c>
      <c r="E64" s="88">
        <f>SUMIFS(工资明细!AY:AY,工资明细!BM:BM,$F$1,工资明细!H:H,A64,工资明细!I:I,B64,工资明细!J:J,C64)</f>
        <v>0</v>
      </c>
      <c r="F64" s="89">
        <f>SUMIFS(工资明细!AZ:AZ,工资明细!BM:BM,$F$1,工资明细!H:H,A64,工资明细!I:I,B64,工资明细!J:J,C64)</f>
        <v>0</v>
      </c>
      <c r="G64" s="89">
        <f>SUMIFS(工资明细!BA:BA,工资明细!BM:BM,$F$1,工资明细!H:H,A64,工资明细!I:I,B64,工资明细!J:J,C64)</f>
        <v>0</v>
      </c>
      <c r="H64" s="89">
        <f>SUMIFS(工资明细!BB:BB,工资明细!BM:BM,$F$1,工资明细!H:H,A64,工资明细!I:I,B64,工资明细!J:J,C64)</f>
        <v>0</v>
      </c>
      <c r="I64" s="89">
        <f>SUMIFS(工资明细!BC:BC,工资明细!BM:BM,$F$1,工资明细!H:H,A64,工资明细!I:I,B64,工资明细!J:J,C64)</f>
        <v>0</v>
      </c>
      <c r="J64" s="93">
        <f t="shared" si="7"/>
        <v>0</v>
      </c>
      <c r="K64" s="94">
        <f>SUMIFS(工资明细!AS:AS,工资明细!BM:BM,$F$1,工资明细!H:H,A64,工资明细!I:I,B64,工资明细!J:J,C64)</f>
        <v>0</v>
      </c>
      <c r="L64" s="92">
        <f t="shared" si="8"/>
        <v>0</v>
      </c>
    </row>
    <row r="65" s="29" customFormat="1" customHeight="1" spans="1:14">
      <c r="A65" s="108" t="s">
        <v>29</v>
      </c>
      <c r="B65" s="118"/>
      <c r="C65" s="118"/>
      <c r="D65" s="87">
        <f>COUNTIFS(工资明细!BM:BM,$F$1,工资明细!H:H,A65,工资明细!I:I,B65,工资明细!J:J,C65)</f>
        <v>0</v>
      </c>
      <c r="E65" s="88">
        <f>SUMIFS(工资明细!AY:AY,工资明细!BM:BM,$F$1,工资明细!H:H,A65,工资明细!I:I,B65,工资明细!J:J,C65)</f>
        <v>0</v>
      </c>
      <c r="F65" s="89">
        <f>SUMIFS(工资明细!AZ:AZ,工资明细!BM:BM,$F$1,工资明细!H:H,A65,工资明细!I:I,B65,工资明细!J:J,C65)</f>
        <v>0</v>
      </c>
      <c r="G65" s="89">
        <f>SUMIFS(工资明细!BA:BA,工资明细!BM:BM,$F$1,工资明细!H:H,A65,工资明细!I:I,B65,工资明细!J:J,C65)</f>
        <v>0</v>
      </c>
      <c r="H65" s="89">
        <f>SUMIFS(工资明细!BB:BB,工资明细!BM:BM,$F$1,工资明细!H:H,A65,工资明细!I:I,B65,工资明细!J:J,C65)</f>
        <v>0</v>
      </c>
      <c r="I65" s="89">
        <f>SUMIFS(工资明细!BC:BC,工资明细!BM:BM,$F$1,工资明细!H:H,A65,工资明细!I:I,B65,工资明细!J:J,C65)</f>
        <v>0</v>
      </c>
      <c r="J65" s="93">
        <f t="shared" si="7"/>
        <v>0</v>
      </c>
      <c r="K65" s="94">
        <f>SUMIFS(工资明细!AS:AS,工资明细!BM:BM,$F$1,工资明细!H:H,A65,工资明细!I:I,B65,工资明细!J:J,C65)</f>
        <v>0</v>
      </c>
      <c r="L65" s="92">
        <f t="shared" si="8"/>
        <v>0</v>
      </c>
    </row>
    <row r="66" s="29" customFormat="1" customHeight="1" spans="1:14">
      <c r="A66" s="108" t="s">
        <v>34</v>
      </c>
      <c r="B66" s="118" t="s">
        <v>35</v>
      </c>
      <c r="C66" s="118" t="s">
        <v>36</v>
      </c>
      <c r="D66" s="87">
        <f>COUNTIFS(工资明细!BM:BM,$F$1,工资明细!H:H,A66,工资明细!I:I,B66,工资明细!J:J,C66)</f>
        <v>0</v>
      </c>
      <c r="E66" s="88">
        <f>SUMIFS(工资明细!AY:AY,工资明细!BM:BM,$F$1,工资明细!H:H,A66,工资明细!I:I,B66,工资明细!J:J,C66)</f>
        <v>0</v>
      </c>
      <c r="F66" s="89">
        <f>SUMIFS(工资明细!AZ:AZ,工资明细!BM:BM,$F$1,工资明细!H:H,A66,工资明细!I:I,B66,工资明细!J:J,C66)</f>
        <v>0</v>
      </c>
      <c r="G66" s="89">
        <f>SUMIFS(工资明细!BA:BA,工资明细!BM:BM,$F$1,工资明细!H:H,A66,工资明细!I:I,B66,工资明细!J:J,C66)</f>
        <v>0</v>
      </c>
      <c r="H66" s="89">
        <f>SUMIFS(工资明细!BB:BB,工资明细!BM:BM,$F$1,工资明细!H:H,A66,工资明细!I:I,B66,工资明细!J:J,C66)</f>
        <v>0</v>
      </c>
      <c r="I66" s="89">
        <f>SUMIFS(工资明细!BC:BC,工资明细!BM:BM,$F$1,工资明细!H:H,A66,工资明细!I:I,B66,工资明细!J:J,C66)</f>
        <v>0</v>
      </c>
      <c r="J66" s="93">
        <f t="shared" si="7"/>
        <v>0</v>
      </c>
      <c r="K66" s="94">
        <f>SUMIFS(工资明细!AS:AS,工资明细!BM:BM,$F$1,工资明细!H:H,A66,工资明细!I:I,B66,工资明细!J:J,C66)</f>
        <v>0</v>
      </c>
      <c r="L66" s="92">
        <f t="shared" si="8"/>
        <v>0</v>
      </c>
    </row>
    <row r="67" s="29" customFormat="1" customHeight="1" spans="1:14">
      <c r="A67" s="108" t="s">
        <v>34</v>
      </c>
      <c r="B67" s="118" t="s">
        <v>35</v>
      </c>
      <c r="C67" s="118" t="s">
        <v>37</v>
      </c>
      <c r="D67" s="87">
        <f>COUNTIFS(工资明细!BM:BM,$F$1,工资明细!H:H,A67,工资明细!I:I,B67,工资明细!J:J,C67)</f>
        <v>0</v>
      </c>
      <c r="E67" s="88">
        <f>SUMIFS(工资明细!AY:AY,工资明细!BM:BM,$F$1,工资明细!H:H,A67,工资明细!I:I,B67,工资明细!J:J,C67)</f>
        <v>0</v>
      </c>
      <c r="F67" s="89">
        <f>SUMIFS(工资明细!AZ:AZ,工资明细!BM:BM,$F$1,工资明细!H:H,A67,工资明细!I:I,B67,工资明细!J:J,C67)</f>
        <v>0</v>
      </c>
      <c r="G67" s="89">
        <f>SUMIFS(工资明细!BA:BA,工资明细!BM:BM,$F$1,工资明细!H:H,A67,工资明细!I:I,B67,工资明细!J:J,C67)</f>
        <v>0</v>
      </c>
      <c r="H67" s="89">
        <f>SUMIFS(工资明细!BB:BB,工资明细!BM:BM,$F$1,工资明细!H:H,A67,工资明细!I:I,B67,工资明细!J:J,C67)</f>
        <v>0</v>
      </c>
      <c r="I67" s="89">
        <f>SUMIFS(工资明细!BC:BC,工资明细!BM:BM,$F$1,工资明细!H:H,A67,工资明细!I:I,B67,工资明细!J:J,C67)</f>
        <v>0</v>
      </c>
      <c r="J67" s="93">
        <f t="shared" si="7"/>
        <v>0</v>
      </c>
      <c r="K67" s="94">
        <f>SUMIFS(工资明细!AS:AS,工资明细!BM:BM,$F$1,工资明细!H:H,A67,工资明细!I:I,B67,工资明细!J:J,C67)</f>
        <v>0</v>
      </c>
      <c r="L67" s="92">
        <f t="shared" si="8"/>
        <v>0</v>
      </c>
      <c r="N67" s="28"/>
    </row>
    <row r="68" s="29" customFormat="1" customHeight="1" spans="1:14">
      <c r="A68" s="108" t="s">
        <v>34</v>
      </c>
      <c r="B68" s="118" t="s">
        <v>38</v>
      </c>
      <c r="C68" s="118" t="s">
        <v>39</v>
      </c>
      <c r="D68" s="87">
        <f>COUNTIFS(工资明细!BM:BM,$F$1,工资明细!H:H,A68,工资明细!I:I,B68,工资明细!J:J,C68)</f>
        <v>0</v>
      </c>
      <c r="E68" s="88">
        <f>SUMIFS(工资明细!AY:AY,工资明细!BM:BM,$F$1,工资明细!H:H,A68,工资明细!I:I,B68,工资明细!J:J,C68)</f>
        <v>0</v>
      </c>
      <c r="F68" s="89">
        <f>SUMIFS(工资明细!AZ:AZ,工资明细!BM:BM,$F$1,工资明细!H:H,A68,工资明细!I:I,B68,工资明细!J:J,C68)</f>
        <v>0</v>
      </c>
      <c r="G68" s="89">
        <f>SUMIFS(工资明细!BA:BA,工资明细!BM:BM,$F$1,工资明细!H:H,A68,工资明细!I:I,B68,工资明细!J:J,C68)</f>
        <v>0</v>
      </c>
      <c r="H68" s="89">
        <f>SUMIFS(工资明细!BB:BB,工资明细!BM:BM,$F$1,工资明细!H:H,A68,工资明细!I:I,B68,工资明细!J:J,C68)</f>
        <v>0</v>
      </c>
      <c r="I68" s="89">
        <f>SUMIFS(工资明细!BC:BC,工资明细!BM:BM,$F$1,工资明细!H:H,A68,工资明细!I:I,B68,工资明细!J:J,C68)</f>
        <v>0</v>
      </c>
      <c r="J68" s="93">
        <f t="shared" si="7"/>
        <v>0</v>
      </c>
      <c r="K68" s="94">
        <f>SUMIFS(工资明细!AS:AS,工资明细!BM:BM,$F$1,工资明细!H:H,A68,工资明细!I:I,B68,工资明细!J:J,C68)</f>
        <v>0</v>
      </c>
      <c r="L68" s="92">
        <f t="shared" si="8"/>
        <v>0</v>
      </c>
    </row>
    <row r="69" s="29" customFormat="1" customHeight="1" spans="1:14">
      <c r="A69" s="108" t="s">
        <v>34</v>
      </c>
      <c r="B69" s="118" t="s">
        <v>38</v>
      </c>
      <c r="C69" s="118" t="s">
        <v>40</v>
      </c>
      <c r="D69" s="87">
        <f>COUNTIFS(工资明细!BM:BM,$F$1,工资明细!H:H,A69,工资明细!I:I,B69,工资明细!J:J,C69)</f>
        <v>0</v>
      </c>
      <c r="E69" s="88">
        <f>SUMIFS(工资明细!AY:AY,工资明细!BM:BM,$F$1,工资明细!H:H,A69,工资明细!I:I,B69,工资明细!J:J,C69)</f>
        <v>0</v>
      </c>
      <c r="F69" s="89">
        <f>SUMIFS(工资明细!AZ:AZ,工资明细!BM:BM,$F$1,工资明细!H:H,A69,工资明细!I:I,B69,工资明细!J:J,C69)</f>
        <v>0</v>
      </c>
      <c r="G69" s="89">
        <f>SUMIFS(工资明细!BA:BA,工资明细!BM:BM,$F$1,工资明细!H:H,A69,工资明细!I:I,B69,工资明细!J:J,C69)</f>
        <v>0</v>
      </c>
      <c r="H69" s="89">
        <f>SUMIFS(工资明细!BB:BB,工资明细!BM:BM,$F$1,工资明细!H:H,A69,工资明细!I:I,B69,工资明细!J:J,C69)</f>
        <v>0</v>
      </c>
      <c r="I69" s="89">
        <f>SUMIFS(工资明细!BC:BC,工资明细!BM:BM,$F$1,工资明细!H:H,A69,工资明细!I:I,B69,工资明细!J:J,C69)</f>
        <v>0</v>
      </c>
      <c r="J69" s="93">
        <f t="shared" si="7"/>
        <v>0</v>
      </c>
      <c r="K69" s="94">
        <f>SUMIFS(工资明细!AS:AS,工资明细!BM:BM,$F$1,工资明细!H:H,A69,工资明细!I:I,B69,工资明细!J:J,C69)</f>
        <v>0</v>
      </c>
      <c r="L69" s="92">
        <f t="shared" si="8"/>
        <v>0</v>
      </c>
      <c r="N69" s="28"/>
    </row>
    <row r="70" s="29" customFormat="1" customHeight="1" spans="1:14">
      <c r="A70" s="108" t="s">
        <v>34</v>
      </c>
      <c r="B70" s="118" t="s">
        <v>38</v>
      </c>
      <c r="C70" s="118" t="s">
        <v>41</v>
      </c>
      <c r="D70" s="87">
        <f>COUNTIFS(工资明细!BM:BM,$F$1,工资明细!H:H,A70,工资明细!I:I,B70,工资明细!J:J,C70)</f>
        <v>0</v>
      </c>
      <c r="E70" s="88">
        <f>SUMIFS(工资明细!AY:AY,工资明细!BM:BM,$F$1,工资明细!H:H,A70,工资明细!I:I,B70,工资明细!J:J,C70)</f>
        <v>0</v>
      </c>
      <c r="F70" s="89">
        <f>SUMIFS(工资明细!AZ:AZ,工资明细!BM:BM,$F$1,工资明细!H:H,A70,工资明细!I:I,B70,工资明细!J:J,C70)</f>
        <v>0</v>
      </c>
      <c r="G70" s="89">
        <f>SUMIFS(工资明细!BA:BA,工资明细!BM:BM,$F$1,工资明细!H:H,A70,工资明细!I:I,B70,工资明细!J:J,C70)</f>
        <v>0</v>
      </c>
      <c r="H70" s="89">
        <f>SUMIFS(工资明细!BB:BB,工资明细!BM:BM,$F$1,工资明细!H:H,A70,工资明细!I:I,B70,工资明细!J:J,C70)</f>
        <v>0</v>
      </c>
      <c r="I70" s="89">
        <f>SUMIFS(工资明细!BC:BC,工资明细!BM:BM,$F$1,工资明细!H:H,A70,工资明细!I:I,B70,工资明细!J:J,C70)</f>
        <v>0</v>
      </c>
      <c r="J70" s="93">
        <f t="shared" si="7"/>
        <v>0</v>
      </c>
      <c r="K70" s="94">
        <f>SUMIFS(工资明细!AS:AS,工资明细!BM:BM,$F$1,工资明细!H:H,A70,工资明细!I:I,B70,工资明细!J:J,C70)</f>
        <v>0</v>
      </c>
      <c r="L70" s="92">
        <f t="shared" si="8"/>
        <v>0</v>
      </c>
      <c r="N70" s="28"/>
    </row>
    <row r="71" s="29" customFormat="1" customHeight="1" spans="1:14">
      <c r="A71" s="108" t="s">
        <v>34</v>
      </c>
      <c r="B71" s="118" t="s">
        <v>38</v>
      </c>
      <c r="C71" s="118" t="s">
        <v>42</v>
      </c>
      <c r="D71" s="87">
        <f>COUNTIFS(工资明细!BM:BM,$F$1,工资明细!H:H,A71,工资明细!I:I,B71,工资明细!J:J,C71)</f>
        <v>0</v>
      </c>
      <c r="E71" s="88">
        <f>SUMIFS(工资明细!AY:AY,工资明细!BM:BM,$F$1,工资明细!H:H,A71,工资明细!I:I,B71,工资明细!J:J,C71)</f>
        <v>0</v>
      </c>
      <c r="F71" s="89">
        <f>SUMIFS(工资明细!AZ:AZ,工资明细!BM:BM,$F$1,工资明细!H:H,A71,工资明细!I:I,B71,工资明细!J:J,C71)</f>
        <v>0</v>
      </c>
      <c r="G71" s="89">
        <f>SUMIFS(工资明细!BA:BA,工资明细!BM:BM,$F$1,工资明细!H:H,A71,工资明细!I:I,B71,工资明细!J:J,C71)</f>
        <v>0</v>
      </c>
      <c r="H71" s="89">
        <f>SUMIFS(工资明细!BB:BB,工资明细!BM:BM,$F$1,工资明细!H:H,A71,工资明细!I:I,B71,工资明细!J:J,C71)</f>
        <v>0</v>
      </c>
      <c r="I71" s="89">
        <f>SUMIFS(工资明细!BC:BC,工资明细!BM:BM,$F$1,工资明细!H:H,A71,工资明细!I:I,B71,工资明细!J:J,C71)</f>
        <v>0</v>
      </c>
      <c r="J71" s="93">
        <f t="shared" si="7"/>
        <v>0</v>
      </c>
      <c r="K71" s="94">
        <f>SUMIFS(工资明细!AS:AS,工资明细!BM:BM,$F$1,工资明细!H:H,A71,工资明细!I:I,B71,工资明细!J:J,C71)</f>
        <v>0</v>
      </c>
      <c r="L71" s="92">
        <f t="shared" si="8"/>
        <v>0</v>
      </c>
      <c r="N71" s="28"/>
    </row>
    <row r="72" s="29" customFormat="1" customHeight="1" spans="1:14">
      <c r="A72" s="108" t="s">
        <v>34</v>
      </c>
      <c r="B72" s="118" t="s">
        <v>43</v>
      </c>
      <c r="C72" s="118"/>
      <c r="D72" s="87">
        <f>COUNTIFS(工资明细!BM:BM,$F$1,工资明细!H:H,A72,工资明细!I:I,B72,工资明细!J:J,C72)</f>
        <v>0</v>
      </c>
      <c r="E72" s="88">
        <f>SUMIFS(工资明细!AY:AY,工资明细!BM:BM,$F$1,工资明细!H:H,A72,工资明细!I:I,B72,工资明细!J:J,C72)</f>
        <v>0</v>
      </c>
      <c r="F72" s="89">
        <f>SUMIFS(工资明细!AZ:AZ,工资明细!BM:BM,$F$1,工资明细!H:H,A72,工资明细!I:I,B72,工资明细!J:J,C72)</f>
        <v>0</v>
      </c>
      <c r="G72" s="89">
        <f>SUMIFS(工资明细!BA:BA,工资明细!BM:BM,$F$1,工资明细!H:H,A72,工资明细!I:I,B72,工资明细!J:J,C72)</f>
        <v>0</v>
      </c>
      <c r="H72" s="89">
        <f>SUMIFS(工资明细!BB:BB,工资明细!BM:BM,$F$1,工资明细!H:H,A72,工资明细!I:I,B72,工资明细!J:J,C72)</f>
        <v>0</v>
      </c>
      <c r="I72" s="89">
        <f>SUMIFS(工资明细!BC:BC,工资明细!BM:BM,$F$1,工资明细!H:H,A72,工资明细!I:I,B72,工资明细!J:J,C72)</f>
        <v>0</v>
      </c>
      <c r="J72" s="93">
        <f t="shared" si="7"/>
        <v>0</v>
      </c>
      <c r="K72" s="94">
        <f>SUMIFS(工资明细!AS:AS,工资明细!BM:BM,$F$1,工资明细!H:H,A72,工资明细!I:I,B72,工资明细!J:J,C72)</f>
        <v>0</v>
      </c>
      <c r="L72" s="92">
        <f t="shared" si="8"/>
        <v>0</v>
      </c>
      <c r="N72" s="28"/>
    </row>
    <row r="73" s="28" customFormat="1" customHeight="1" spans="1:14">
      <c r="A73" s="108" t="s">
        <v>44</v>
      </c>
      <c r="B73" s="118"/>
      <c r="C73" s="118"/>
      <c r="D73" s="87">
        <f>COUNTIFS(工资明细!BM:BM,$F$1,工资明细!H:H,A73,工资明细!I:I,B73,工资明细!J:J,C73)</f>
        <v>0</v>
      </c>
      <c r="E73" s="88">
        <f>SUMIFS(工资明细!AY:AY,工资明细!BM:BM,$F$1,工资明细!H:H,A73,工资明细!I:I,B73,工资明细!J:J,C73)</f>
        <v>0</v>
      </c>
      <c r="F73" s="89">
        <f>SUMIFS(工资明细!AZ:AZ,工资明细!BM:BM,$F$1,工资明细!H:H,A73,工资明细!I:I,B73,工资明细!J:J,C73)</f>
        <v>0</v>
      </c>
      <c r="G73" s="89">
        <f>SUMIFS(工资明细!BA:BA,工资明细!BM:BM,$F$1,工资明细!H:H,A73,工资明细!I:I,B73,工资明细!J:J,C73)</f>
        <v>0</v>
      </c>
      <c r="H73" s="89">
        <f>SUMIFS(工资明细!BB:BB,工资明细!BM:BM,$F$1,工资明细!H:H,A73,工资明细!I:I,B73,工资明细!J:J,C73)</f>
        <v>0</v>
      </c>
      <c r="I73" s="89">
        <f>SUMIFS(工资明细!BC:BC,工资明细!BM:BM,$F$1,工资明细!H:H,A73,工资明细!I:I,B73,工资明细!J:J,C73)</f>
        <v>0</v>
      </c>
      <c r="J73" s="93">
        <f t="shared" si="7"/>
        <v>0</v>
      </c>
      <c r="K73" s="94">
        <f>SUMIFS(工资明细!AS:AS,工资明细!BM:BM,$F$1,工资明细!H:H,A73,工资明细!I:I,B73,工资明细!J:J,C73)</f>
        <v>0</v>
      </c>
      <c r="L73" s="92">
        <f t="shared" si="8"/>
        <v>0</v>
      </c>
      <c r="M73" s="29"/>
    </row>
    <row r="74" s="29" customFormat="1" ht="14.25" customHeight="1" spans="1:14">
      <c r="A74" s="108" t="s">
        <v>45</v>
      </c>
      <c r="B74" s="118"/>
      <c r="C74" s="118"/>
      <c r="D74" s="87">
        <f>COUNTIFS(工资明细!BM:BM,$F$1,工资明细!H:H,A74,工资明细!I:I,B74,工资明细!J:J,C74)</f>
        <v>0</v>
      </c>
      <c r="E74" s="88">
        <f>SUMIFS(工资明细!AY:AY,工资明细!BM:BM,$F$1,工资明细!H:H,A74,工资明细!I:I,B74,工资明细!J:J,C74)</f>
        <v>0</v>
      </c>
      <c r="F74" s="89">
        <f>SUMIFS(工资明细!AZ:AZ,工资明细!BM:BM,$F$1,工资明细!H:H,A74,工资明细!I:I,B74,工资明细!J:J,C74)</f>
        <v>0</v>
      </c>
      <c r="G74" s="89">
        <f>SUMIFS(工资明细!BA:BA,工资明细!BM:BM,$F$1,工资明细!H:H,A74,工资明细!I:I,B74,工资明细!J:J,C74)</f>
        <v>0</v>
      </c>
      <c r="H74" s="89">
        <f>SUMIFS(工资明细!BB:BB,工资明细!BM:BM,$F$1,工资明细!H:H,A74,工资明细!I:I,B74,工资明细!J:J,C74)</f>
        <v>0</v>
      </c>
      <c r="I74" s="89">
        <f>SUMIFS(工资明细!BC:BC,工资明细!BM:BM,$F$1,工资明细!H:H,A74,工资明细!I:I,B74,工资明细!J:J,C74)</f>
        <v>0</v>
      </c>
      <c r="J74" s="93">
        <f t="shared" si="7"/>
        <v>0</v>
      </c>
      <c r="K74" s="94">
        <f>SUMIFS(工资明细!AS:AS,工资明细!BM:BM,$F$1,工资明细!H:H,A74,工资明细!I:I,B74,工资明细!J:J,C74)</f>
        <v>0</v>
      </c>
      <c r="L74" s="92">
        <f t="shared" si="8"/>
        <v>0</v>
      </c>
      <c r="N74" s="28"/>
    </row>
    <row r="75" s="28" customFormat="1" ht="15.35" spans="1:14">
      <c r="A75" s="110" t="s">
        <v>46</v>
      </c>
      <c r="B75" s="119"/>
      <c r="C75" s="119"/>
      <c r="D75" s="112">
        <f>COUNTIFS(工资明细!BM:BM,$F$1,工资明细!H:H,A75,工资明细!I:I,B75,工资明细!J:J,C75)</f>
        <v>0</v>
      </c>
      <c r="E75" s="113">
        <f>SUMIFS(工资明细!AY:AY,工资明细!BM:BM,$F$1,工资明细!H:H,A75,工资明细!I:I,B75,工资明细!J:J,C75)</f>
        <v>0</v>
      </c>
      <c r="F75" s="114">
        <f>SUMIFS(工资明细!AZ:AZ,工资明细!BM:BM,$F$1,工资明细!H:H,A75,工资明细!I:I,B75,工资明细!J:J,C75)</f>
        <v>0</v>
      </c>
      <c r="G75" s="114">
        <f>SUMIFS(工资明细!BA:BA,工资明细!BM:BM,$F$1,工资明细!H:H,A75,工资明细!I:I,B75,工资明细!J:J,C75)</f>
        <v>0</v>
      </c>
      <c r="H75" s="114">
        <f>SUMIFS(工资明细!BB:BB,工资明细!BM:BM,$F$1,工资明细!H:H,A75,工资明细!I:I,B75,工资明细!J:J,C75)</f>
        <v>0</v>
      </c>
      <c r="I75" s="114">
        <f>SUMIFS(工资明细!BC:BC,工资明细!BM:BM,$F$1,工资明细!H:H,A75,工资明细!I:I,B75,工资明细!J:J,C75)</f>
        <v>0</v>
      </c>
      <c r="J75" s="123">
        <f t="shared" si="7"/>
        <v>0</v>
      </c>
      <c r="K75" s="124">
        <f>SUMIFS(工资明细!AS:AS,工资明细!BM:BM,$F$1,工资明细!H:H,A75,工资明细!I:I,B75,工资明细!J:J,C75)</f>
        <v>0</v>
      </c>
      <c r="L75" s="120">
        <f t="shared" si="8"/>
        <v>0</v>
      </c>
      <c r="M75" s="29"/>
    </row>
    <row r="76" s="28" customFormat="1" customHeight="1" spans="1:14">
      <c r="A76" s="42" t="s">
        <v>47</v>
      </c>
      <c r="B76" s="43"/>
      <c r="C76" s="43"/>
      <c r="D76" s="48">
        <f t="shared" ref="D76:L76" si="9">SUM(D56:D75)</f>
        <v>0</v>
      </c>
      <c r="E76" s="121">
        <f t="shared" si="9"/>
        <v>0</v>
      </c>
      <c r="F76" s="121">
        <f t="shared" si="9"/>
        <v>0</v>
      </c>
      <c r="G76" s="121">
        <f t="shared" si="9"/>
        <v>0</v>
      </c>
      <c r="H76" s="121">
        <f t="shared" si="9"/>
        <v>0</v>
      </c>
      <c r="I76" s="121">
        <f t="shared" si="9"/>
        <v>0</v>
      </c>
      <c r="J76" s="121">
        <f t="shared" si="9"/>
        <v>0</v>
      </c>
      <c r="K76" s="121">
        <f t="shared" si="9"/>
        <v>0</v>
      </c>
      <c r="L76" s="122">
        <f t="shared" si="9"/>
        <v>0</v>
      </c>
      <c r="M76" s="29"/>
    </row>
    <row r="77" customHeight="1" spans="1:14">
      <c r="M77" s="28"/>
      <c r="N77" s="28"/>
    </row>
    <row r="78" customHeight="1" spans="1:14">
      <c r="H78" s="28"/>
      <c r="I78" s="28"/>
      <c r="J78" s="28"/>
      <c r="K78" s="28"/>
      <c r="L78" s="28"/>
      <c r="M78" s="28"/>
      <c r="N78" s="28"/>
    </row>
    <row r="79" customHeight="1" spans="1:14">
      <c r="H79" s="28"/>
      <c r="I79" s="28"/>
      <c r="J79" s="28"/>
      <c r="K79" s="28"/>
      <c r="L79" s="28"/>
      <c r="M79" s="28"/>
      <c r="N79" s="28"/>
    </row>
    <row r="80" customHeight="1" spans="1:14">
      <c r="H80" s="28"/>
      <c r="I80" s="28"/>
      <c r="J80" s="28"/>
      <c r="K80" s="28"/>
      <c r="L80" s="28"/>
      <c r="M80" s="28"/>
      <c r="N80" s="28"/>
    </row>
    <row r="81" customHeight="1" spans="8:19">
      <c r="H81" s="28"/>
      <c r="I81" s="28"/>
      <c r="J81" s="28"/>
      <c r="K81" s="28"/>
      <c r="L81" s="28"/>
      <c r="M81" s="28"/>
      <c r="N81" s="28"/>
    </row>
    <row r="82" customHeight="1" spans="8:19">
      <c r="H82" s="28"/>
      <c r="I82" s="28"/>
      <c r="J82" s="28"/>
      <c r="K82" s="28"/>
      <c r="L82" s="28"/>
      <c r="M82" s="28"/>
      <c r="N82" s="28"/>
    </row>
    <row r="83" customHeight="1" spans="8:19">
      <c r="H83" s="28"/>
      <c r="I83" s="28"/>
      <c r="J83" s="28"/>
      <c r="K83" s="28"/>
      <c r="L83" s="28"/>
      <c r="M83" s="28"/>
      <c r="N83" s="28"/>
    </row>
    <row r="84" customHeight="1" spans="8:19">
      <c r="M84" s="28"/>
      <c r="N84" s="28"/>
      <c r="O84" s="28"/>
      <c r="P84" s="28"/>
      <c r="Q84" s="28"/>
      <c r="R84" s="28"/>
      <c r="S84" s="28"/>
    </row>
    <row r="85" customHeight="1" spans="8:19">
      <c r="M85" s="28"/>
      <c r="N85" s="28"/>
      <c r="O85" s="28"/>
      <c r="P85" s="28"/>
      <c r="Q85" s="28"/>
      <c r="R85" s="28"/>
      <c r="S85" s="28"/>
    </row>
    <row r="86" customHeight="1" spans="8:19">
      <c r="M86" s="28"/>
      <c r="N86" s="28"/>
      <c r="O86" s="28"/>
      <c r="P86" s="28"/>
      <c r="Q86" s="28"/>
      <c r="R86" s="28"/>
      <c r="S86" s="28"/>
    </row>
    <row r="87" customHeight="1" spans="8:19">
      <c r="M87" s="28"/>
      <c r="N87" s="28"/>
      <c r="O87" s="28"/>
      <c r="P87" s="28"/>
      <c r="Q87" s="28"/>
      <c r="R87" s="28"/>
      <c r="S87" s="28"/>
    </row>
    <row r="88" customHeight="1" spans="8:19">
      <c r="M88" s="28"/>
      <c r="N88" s="28"/>
      <c r="O88" s="28"/>
      <c r="P88" s="28"/>
      <c r="Q88" s="28"/>
      <c r="R88" s="28"/>
      <c r="S88" s="28"/>
    </row>
    <row r="89" customHeight="1" spans="8:19">
      <c r="M89" s="28"/>
      <c r="N89" s="28"/>
      <c r="O89" s="28"/>
      <c r="P89" s="28"/>
      <c r="Q89" s="28"/>
      <c r="R89" s="28"/>
      <c r="S89" s="28"/>
    </row>
    <row r="90" customHeight="1" spans="8:19">
      <c r="M90" s="28"/>
      <c r="N90" s="28"/>
      <c r="O90" s="28"/>
      <c r="P90" s="28"/>
      <c r="Q90" s="28"/>
      <c r="R90" s="28"/>
      <c r="S90" s="28"/>
    </row>
    <row r="91" customHeight="1" spans="8:19">
      <c r="O91" s="28"/>
      <c r="P91" s="28"/>
      <c r="Q91" s="28"/>
      <c r="R91" s="28"/>
      <c r="S91" s="28"/>
    </row>
    <row r="92" customHeight="1" spans="8:19">
      <c r="O92" s="28"/>
      <c r="P92" s="28"/>
      <c r="Q92" s="28"/>
      <c r="R92" s="28"/>
      <c r="S92" s="28"/>
    </row>
    <row r="93" customHeight="1" spans="8:19">
      <c r="O93" s="28"/>
      <c r="P93" s="28"/>
      <c r="Q93" s="28"/>
      <c r="R93" s="28"/>
      <c r="S93" s="28"/>
    </row>
    <row r="94" customHeight="1" spans="8:19">
      <c r="O94" s="28"/>
      <c r="P94" s="28"/>
      <c r="Q94" s="28"/>
      <c r="R94" s="28"/>
      <c r="S94" s="28"/>
    </row>
    <row r="95" customHeight="1" spans="8:19">
      <c r="O95" s="28"/>
      <c r="P95" s="28"/>
      <c r="Q95" s="28"/>
      <c r="R95" s="28"/>
      <c r="S95" s="28"/>
    </row>
    <row r="96" customHeight="1" spans="8:19">
      <c r="O96" s="28"/>
      <c r="P96" s="28"/>
      <c r="Q96" s="28"/>
      <c r="R96" s="28"/>
      <c r="S96" s="28"/>
    </row>
    <row r="97" s="28" customFormat="1" customHeight="1" spans="1:1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</sheetData>
  <protectedRanges>
    <protectedRange sqref="M72:M88" name="区域1_4_1_4"/>
    <protectedRange sqref="H31:H53 F51 E75 E32:E51" name="区域1_4_1_2_2"/>
    <protectedRange sqref="D76:I88 F75:J75 I72:I74 D32:D51" name="区域1_4_1_3_1_2"/>
    <protectedRange sqref="E26 E7:H24" name="区域1_4_1_3"/>
    <protectedRange sqref="D26 D7:D24" name="区域1_4_1_3_1"/>
  </protectedRanges>
  <mergeCells count="19">
    <mergeCell ref="A3:K3"/>
    <mergeCell ref="A26:C26"/>
    <mergeCell ref="A28:G28"/>
    <mergeCell ref="A51:C51"/>
    <mergeCell ref="A76:C76"/>
    <mergeCell ref="A4:A5"/>
    <mergeCell ref="A29:A30"/>
    <mergeCell ref="A54:A55"/>
    <mergeCell ref="B4:B5"/>
    <mergeCell ref="B29:B30"/>
    <mergeCell ref="B54:B55"/>
    <mergeCell ref="C4:C5"/>
    <mergeCell ref="C29:C30"/>
    <mergeCell ref="C54:C55"/>
    <mergeCell ref="D4:D5"/>
    <mergeCell ref="D29:D30"/>
    <mergeCell ref="D54:D55"/>
    <mergeCell ref="G29:G30"/>
    <mergeCell ref="L54:L55"/>
  </mergeCells>
  <pageMargins left="0.699305555555556" right="0.699305555555556" top="0.75" bottom="0.75" header="0.3" footer="0.3"/>
  <pageSetup paperSize="9" scale="3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view="pageBreakPreview" zoomScaleNormal="100" workbookViewId="0">
      <selection activeCell="A19" sqref="$A19:$XFD19"/>
    </sheetView>
  </sheetViews>
  <sheetFormatPr defaultColWidth="9" defaultRowHeight="18" customHeight="1"/>
  <cols>
    <col min="1" max="1" width="10.7522123893805" style="29" customWidth="1"/>
    <col min="2" max="3" width="9.6283185840708" style="29" customWidth="1"/>
    <col min="4" max="4" width="5.75221238938053" style="29" customWidth="1"/>
    <col min="5" max="5" width="11.3716814159292" style="29" customWidth="1"/>
    <col min="6" max="7" width="10.3716814159292" style="29" customWidth="1"/>
    <col min="8" max="8" width="9.12389380530973" style="29" customWidth="1"/>
    <col min="9" max="9" width="12.6283185840708" style="29" customWidth="1"/>
    <col min="10" max="10" width="10.7522123893805" style="29" customWidth="1"/>
    <col min="11" max="12" width="10.3716814159292" style="29" customWidth="1"/>
    <col min="13" max="13" width="9.12389380530973" style="29" customWidth="1"/>
    <col min="14" max="14" width="11.3716814159292" style="29" customWidth="1"/>
    <col min="15" max="15" width="9.75221238938053" style="29" customWidth="1"/>
    <col min="16" max="16" width="13.3716814159292" style="29" customWidth="1"/>
    <col min="17" max="16384" width="9" style="29"/>
  </cols>
  <sheetData>
    <row r="1" s="28" customFormat="1" ht="30" customHeight="1" spans="1:14">
      <c r="A1" s="30" t="s">
        <v>0</v>
      </c>
      <c r="B1" s="31">
        <f>北分人力成本!B1</f>
        <v>46204</v>
      </c>
      <c r="C1" s="32"/>
      <c r="E1" s="33" t="s">
        <v>1</v>
      </c>
      <c r="F1" s="34" t="s">
        <v>59</v>
      </c>
      <c r="G1" s="34"/>
      <c r="H1" s="34"/>
      <c r="I1" s="34"/>
    </row>
    <row r="2" s="28" customFormat="1" ht="17.25" customHeight="1"/>
    <row r="3" s="28" customFormat="1" ht="30" customHeight="1" spans="1:14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customHeight="1" spans="1:14">
      <c r="A6" s="98" t="s">
        <v>23</v>
      </c>
      <c r="B6" s="99" t="s">
        <v>25</v>
      </c>
      <c r="C6" s="99" t="s">
        <v>27</v>
      </c>
      <c r="D6" s="100">
        <f>COUNTIFS(工资明细!BM:BM,$F$1,工资明细!H:H,A6,工资明细!I:I,B6,工资明细!J:J,C6)</f>
        <v>0</v>
      </c>
      <c r="E6" s="101">
        <f>SUMIFS(工资明细!AO:AO,工资明细!BM:BM,$F$1,工资明细!H:H,A6,工资明细!I:I,B6,工资明细!J:J,C6)</f>
        <v>0</v>
      </c>
      <c r="F6" s="101">
        <f>SUMIFS(工资明细!AP:AP,工资明细!BM:BM,$F$1,工资明细!H:H,A6,工资明细!I:I,B6,工资明细!J:J,C6)</f>
        <v>0</v>
      </c>
      <c r="G6" s="101">
        <f>SUMIFS(工资明细!AQ:AQ,工资明细!BM:BM,$F$1,工资明细!H:H,A6,工资明细!I:I,B6,工资明细!J:J,C6)</f>
        <v>0</v>
      </c>
      <c r="H6" s="101">
        <f>SUMIFS(工资明细!AR:AR,工资明细!BM:BM,$F$1,工资明细!H:H,A6,工资明细!I:I,B6,工资明细!J:J,C6)</f>
        <v>0</v>
      </c>
      <c r="I6" s="101">
        <f>F6+G6+H6</f>
        <v>0</v>
      </c>
      <c r="J6" s="101">
        <f>SUMIFS(工资明细!AT:AT,工资明细!BM:BM,$F$1,工资明细!H:H,A6,工资明细!I:I,B6,工资明细!J:J,C6)</f>
        <v>0</v>
      </c>
      <c r="K6" s="101">
        <f>SUMIFS(工资明细!AU:AU,工资明细!BM:BM,$F$1,工资明细!H:H,A6,工资明细!I:I,B6,工资明细!J:J,C6)</f>
        <v>0</v>
      </c>
      <c r="L6" s="101">
        <f>SUMIFS(工资明细!AV:AV,工资明细!BM:BM,$F$1,工资明细!H:H,A6,工资明细!I:I,B6,工资明细!J:J,C6)</f>
        <v>0</v>
      </c>
      <c r="M6" s="102">
        <f>SUMIFS(工资明细!AW:AW,工资明细!BM:BM,$F$1,工资明细!H:H,A6,工资明细!I:I,B6,工资明细!J:J,C6)</f>
        <v>0</v>
      </c>
      <c r="N6" s="103">
        <f>SUMIFS(工资明细!AX:AX,工资明细!BM:BM,$F$1,工资明细!H:H,A6,工资明细!I:I,B6,工资明细!J:J,C6)</f>
        <v>0</v>
      </c>
    </row>
    <row r="7" customHeight="1" spans="1:14">
      <c r="A7" s="42" t="s">
        <v>47</v>
      </c>
      <c r="B7" s="43"/>
      <c r="C7" s="43"/>
      <c r="D7" s="43">
        <f t="shared" ref="D7:N7" si="0">SUM(D6:D6)</f>
        <v>0</v>
      </c>
      <c r="E7" s="43">
        <f t="shared" si="0"/>
        <v>0</v>
      </c>
      <c r="F7" s="43">
        <f t="shared" si="0"/>
        <v>0</v>
      </c>
      <c r="G7" s="43">
        <f t="shared" si="0"/>
        <v>0</v>
      </c>
      <c r="H7" s="43">
        <f t="shared" si="0"/>
        <v>0</v>
      </c>
      <c r="I7" s="43">
        <f t="shared" si="0"/>
        <v>0</v>
      </c>
      <c r="J7" s="43">
        <f t="shared" si="0"/>
        <v>0</v>
      </c>
      <c r="K7" s="43">
        <f t="shared" si="0"/>
        <v>0</v>
      </c>
      <c r="L7" s="43">
        <f t="shared" si="0"/>
        <v>0</v>
      </c>
      <c r="M7" s="43">
        <f t="shared" si="0"/>
        <v>0</v>
      </c>
      <c r="N7" s="104">
        <f t="shared" si="0"/>
        <v>0</v>
      </c>
    </row>
    <row r="9" ht="30" customHeight="1" spans="1:14">
      <c r="A9" s="51" t="s">
        <v>48</v>
      </c>
      <c r="B9" s="51"/>
      <c r="C9" s="51"/>
      <c r="D9" s="51"/>
      <c r="E9" s="51"/>
      <c r="F9" s="51"/>
      <c r="G9" s="51"/>
      <c r="H9" s="52"/>
      <c r="I9" s="52"/>
      <c r="J9" s="52"/>
    </row>
    <row r="10" customHeight="1" spans="1:14">
      <c r="A10" s="36" t="s">
        <v>4</v>
      </c>
      <c r="B10" s="37" t="s">
        <v>5</v>
      </c>
      <c r="C10" s="37" t="s">
        <v>6</v>
      </c>
      <c r="D10" s="37" t="s">
        <v>7</v>
      </c>
      <c r="E10" s="37" t="s">
        <v>49</v>
      </c>
      <c r="F10" s="37" t="s">
        <v>50</v>
      </c>
      <c r="G10" s="38" t="s">
        <v>47</v>
      </c>
    </row>
    <row r="11" customHeight="1" spans="1:14">
      <c r="A11" s="39"/>
      <c r="B11" s="40"/>
      <c r="C11" s="40"/>
      <c r="D11" s="40" t="s">
        <v>7</v>
      </c>
      <c r="E11" s="40" t="s">
        <v>18</v>
      </c>
      <c r="F11" s="40" t="s">
        <v>18</v>
      </c>
      <c r="G11" s="41" t="s">
        <v>47</v>
      </c>
    </row>
    <row r="12" customHeight="1" spans="1:14">
      <c r="A12" s="98" t="s">
        <v>23</v>
      </c>
      <c r="B12" s="99" t="s">
        <v>25</v>
      </c>
      <c r="C12" s="99" t="s">
        <v>27</v>
      </c>
      <c r="D12" s="100">
        <f>COUNTIFS(工资明细!BM:BM,$F$1,工资明细!H:H,A12,工资明细!I:I,B12,工资明细!J:J,C12)</f>
        <v>0</v>
      </c>
      <c r="E12" s="101">
        <f>SUMIFS(工资明细!BE:BE,工资明细!BM:BM,$F$1,工资明细!H:H,A12,工资明细!I:I,B12,工资明细!J:J,C12)</f>
        <v>0</v>
      </c>
      <c r="F12" s="102">
        <f>SUMIFS(工资明细!AT:AT,工资明细!BM:BM,$F$1,工资明细!H:H,A12,工资明细!I:I,B12,工资明细!J:J,C12)</f>
        <v>0</v>
      </c>
      <c r="G12" s="105">
        <f>SUM(E12:F12)</f>
        <v>0</v>
      </c>
    </row>
    <row r="13" s="28" customFormat="1" customHeight="1" spans="1:14">
      <c r="A13" s="42" t="s">
        <v>47</v>
      </c>
      <c r="B13" s="43"/>
      <c r="C13" s="43"/>
      <c r="D13" s="43">
        <f>SUM(D12:D12)</f>
        <v>0</v>
      </c>
      <c r="E13" s="43">
        <f>SUM(E12:E12)</f>
        <v>0</v>
      </c>
      <c r="F13" s="43">
        <f>SUM(F12:F12)</f>
        <v>0</v>
      </c>
      <c r="G13" s="104">
        <f>SUM(G12:G12)</f>
        <v>0</v>
      </c>
      <c r="H13" s="29"/>
      <c r="I13" s="29"/>
      <c r="J13" s="29"/>
      <c r="K13" s="29"/>
    </row>
    <row r="14" ht="14.25" customHeight="1"/>
    <row r="15" s="28" customFormat="1" ht="30" customHeight="1" spans="1:14">
      <c r="A15" s="80" t="s">
        <v>51</v>
      </c>
      <c r="B15" s="80"/>
      <c r="C15" s="80"/>
      <c r="D15" s="80"/>
      <c r="E15" s="80"/>
      <c r="F15" s="80"/>
      <c r="G15" s="80"/>
      <c r="H15" s="29"/>
      <c r="I15" s="29"/>
      <c r="J15" s="29"/>
      <c r="K15" s="29"/>
      <c r="L15" s="29"/>
    </row>
    <row r="16" s="28" customFormat="1" customHeight="1" spans="1:14">
      <c r="A16" s="36" t="s">
        <v>4</v>
      </c>
      <c r="B16" s="37" t="s">
        <v>5</v>
      </c>
      <c r="C16" s="37" t="s">
        <v>6</v>
      </c>
      <c r="D16" s="37" t="s">
        <v>7</v>
      </c>
      <c r="E16" s="37" t="s">
        <v>52</v>
      </c>
      <c r="F16" s="37" t="s">
        <v>53</v>
      </c>
      <c r="G16" s="37" t="s">
        <v>54</v>
      </c>
      <c r="H16" s="37" t="s">
        <v>55</v>
      </c>
      <c r="I16" s="37" t="s">
        <v>56</v>
      </c>
      <c r="J16" s="37" t="s">
        <v>57</v>
      </c>
      <c r="K16" s="37" t="s">
        <v>58</v>
      </c>
      <c r="L16" s="38" t="s">
        <v>47</v>
      </c>
    </row>
    <row r="17" s="28" customFormat="1" customHeight="1" spans="1:17">
      <c r="A17" s="39"/>
      <c r="B17" s="40"/>
      <c r="C17" s="40"/>
      <c r="D17" s="40"/>
      <c r="E17" s="40" t="s">
        <v>18</v>
      </c>
      <c r="F17" s="40" t="s">
        <v>18</v>
      </c>
      <c r="G17" s="40" t="s">
        <v>18</v>
      </c>
      <c r="H17" s="40" t="s">
        <v>18</v>
      </c>
      <c r="I17" s="40" t="s">
        <v>18</v>
      </c>
      <c r="J17" s="40" t="s">
        <v>18</v>
      </c>
      <c r="K17" s="40" t="s">
        <v>18</v>
      </c>
      <c r="L17" s="41"/>
    </row>
    <row r="18" customHeight="1" spans="1:17">
      <c r="A18" s="98" t="s">
        <v>23</v>
      </c>
      <c r="B18" s="99" t="s">
        <v>25</v>
      </c>
      <c r="C18" s="99" t="s">
        <v>27</v>
      </c>
      <c r="D18" s="100">
        <f>COUNTIFS(工资明细!BM:BM,$F$1,工资明细!H:H,A18,工资明细!I:I,B18,工资明细!J:J,C18)</f>
        <v>0</v>
      </c>
      <c r="E18" s="101">
        <f>SUMIFS(工资明细!AY:AY,工资明细!BM:BM,$F$1,工资明细!H:H,A18,工资明细!I:I,B18,工资明细!J:J,C18)</f>
        <v>0</v>
      </c>
      <c r="F18" s="102">
        <f>SUMIFS(工资明细!AZ:AZ,工资明细!BM:BM,$F$1,工资明细!H:H,A18,工资明细!I:I,B18,工资明细!J:J,C18)</f>
        <v>0</v>
      </c>
      <c r="G18" s="102">
        <f>SUMIFS(工资明细!BA:BA,工资明细!BM:BM,$F$1,工资明细!H:H,A18,工资明细!I:I,B18,工资明细!J:J,C18)</f>
        <v>0</v>
      </c>
      <c r="H18" s="102">
        <f>SUMIFS(工资明细!BB:BB,工资明细!BM:BM,$F$1,工资明细!H:H,A18,工资明细!I:I,B18,工资明细!J:J,C18)</f>
        <v>0</v>
      </c>
      <c r="I18" s="102">
        <f>SUMIFS(工资明细!BC:BC,工资明细!BM:BM,$F$1,工资明细!H:H,A18,工资明细!I:I,B18,工资明细!J:J,C18)</f>
        <v>0</v>
      </c>
      <c r="J18" s="106">
        <f>SUM(E18:I18)</f>
        <v>0</v>
      </c>
      <c r="K18" s="107">
        <f>SUMIFS(工资明细!AS:AS,工资明细!BM:BM,$F$1,工资明细!H:H,A18,工资明细!I:I,B18,工资明细!J:J,C18)</f>
        <v>0</v>
      </c>
      <c r="L18" s="105">
        <f>SUM(J18:K18)</f>
        <v>0</v>
      </c>
      <c r="M18" s="28"/>
      <c r="N18" s="28"/>
      <c r="O18" s="28"/>
      <c r="P18" s="28"/>
      <c r="Q18" s="28"/>
    </row>
    <row r="19" s="28" customFormat="1" customHeight="1" spans="1:17">
      <c r="A19" s="42" t="s">
        <v>47</v>
      </c>
      <c r="B19" s="43"/>
      <c r="C19" s="43"/>
      <c r="D19" s="43">
        <f t="shared" ref="D19:L19" si="1">SUM(D18:D18)</f>
        <v>0</v>
      </c>
      <c r="E19" s="43">
        <f t="shared" si="1"/>
        <v>0</v>
      </c>
      <c r="F19" s="43">
        <f t="shared" si="1"/>
        <v>0</v>
      </c>
      <c r="G19" s="43">
        <f t="shared" si="1"/>
        <v>0</v>
      </c>
      <c r="H19" s="43">
        <f t="shared" si="1"/>
        <v>0</v>
      </c>
      <c r="I19" s="43">
        <f t="shared" si="1"/>
        <v>0</v>
      </c>
      <c r="J19" s="43">
        <f t="shared" si="1"/>
        <v>0</v>
      </c>
      <c r="K19" s="43">
        <f t="shared" si="1"/>
        <v>0</v>
      </c>
      <c r="L19" s="104">
        <f t="shared" si="1"/>
        <v>0</v>
      </c>
    </row>
    <row r="20" ht="30" customHeight="1"/>
  </sheetData>
  <protectedRanges>
    <protectedRange sqref="M18" name="区域1_4_1_4_1"/>
    <protectedRange sqref="H12" name="区域1_4_1_2_2_1"/>
  </protectedRanges>
  <mergeCells count="20">
    <mergeCell ref="A3:K3"/>
    <mergeCell ref="A7:C7"/>
    <mergeCell ref="A9:G9"/>
    <mergeCell ref="A13:C13"/>
    <mergeCell ref="A15:G15"/>
    <mergeCell ref="A19:C19"/>
    <mergeCell ref="A4:A5"/>
    <mergeCell ref="A10:A11"/>
    <mergeCell ref="A16:A17"/>
    <mergeCell ref="B4:B5"/>
    <mergeCell ref="B10:B11"/>
    <mergeCell ref="B16:B17"/>
    <mergeCell ref="C4:C5"/>
    <mergeCell ref="C10:C11"/>
    <mergeCell ref="C16:C17"/>
    <mergeCell ref="D4:D5"/>
    <mergeCell ref="D10:D11"/>
    <mergeCell ref="D16:D17"/>
    <mergeCell ref="G10:G11"/>
    <mergeCell ref="L16:L17"/>
  </mergeCells>
  <pageMargins left="0.699305555555556" right="0.699305555555556" top="0.75" bottom="0.75" header="0.3" footer="0.3"/>
  <pageSetup paperSize="9" scale="8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view="pageBreakPreview" zoomScaleNormal="100" workbookViewId="0">
      <selection activeCell="F1" sqref="F$1:F$1048576"/>
    </sheetView>
  </sheetViews>
  <sheetFormatPr defaultColWidth="9" defaultRowHeight="18" customHeight="1"/>
  <cols>
    <col min="1" max="1" width="7.12389380530973" style="28" customWidth="1"/>
    <col min="2" max="3" width="9.6283185840708" style="28" customWidth="1"/>
    <col min="4" max="4" width="3.87610619469027" style="28" customWidth="1"/>
    <col min="5" max="5" width="9.3716814159292" style="28" customWidth="1"/>
    <col min="6" max="6" width="10.3716814159292" style="28" customWidth="1"/>
    <col min="7" max="7" width="9.3716814159292" style="28" customWidth="1"/>
    <col min="8" max="8" width="7.87610619469027" style="28" customWidth="1"/>
    <col min="9" max="9" width="10.3716814159292" style="28" customWidth="1"/>
    <col min="10" max="10" width="9.3716814159292" style="28" customWidth="1"/>
    <col min="11" max="11" width="7.87610619469027" style="28" customWidth="1"/>
    <col min="12" max="12" width="9.3716814159292" style="28" customWidth="1"/>
    <col min="13" max="13" width="7.12389380530973" style="28" customWidth="1"/>
    <col min="14" max="14" width="9.3716814159292" style="28" customWidth="1"/>
    <col min="15" max="15" width="15.3716814159292" style="28" customWidth="1"/>
    <col min="16" max="16" width="9" style="28"/>
    <col min="17" max="17" width="9.75221238938053" style="28" customWidth="1"/>
    <col min="18" max="18" width="13.3716814159292" style="28" customWidth="1"/>
    <col min="19" max="16384" width="9" style="28"/>
  </cols>
  <sheetData>
    <row r="1" s="28" customFormat="1" ht="30" customHeight="1" spans="1:14">
      <c r="A1" s="30" t="s">
        <v>0</v>
      </c>
      <c r="B1" s="31">
        <f>北分人力成本!B1</f>
        <v>46204</v>
      </c>
      <c r="C1" s="32"/>
      <c r="E1" s="33" t="s">
        <v>1</v>
      </c>
      <c r="F1" s="34" t="s">
        <v>60</v>
      </c>
      <c r="G1" s="34"/>
      <c r="H1" s="34"/>
      <c r="I1" s="34"/>
    </row>
    <row r="2" s="28" customFormat="1" ht="17.25" customHeight="1"/>
    <row r="3" s="28" customFormat="1" ht="30" customHeight="1" spans="1:14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customHeight="1" spans="1:14">
      <c r="A6" s="85" t="s">
        <v>29</v>
      </c>
      <c r="B6" s="86" t="s">
        <v>61</v>
      </c>
      <c r="C6" s="86" t="s">
        <v>62</v>
      </c>
      <c r="D6" s="87">
        <f>COUNTIFS(工资明细!BM:BM,$F$1,工资明细!H:H,A6,工资明细!I:I,B6,工资明细!J:J,C6)</f>
        <v>0</v>
      </c>
      <c r="E6" s="88">
        <f>SUMIFS(工资明细!AO:AO,工资明细!BM:BM,$F$1,工资明细!H:H,A6,工资明细!I:I,B6,工资明细!J:J,C6)</f>
        <v>0</v>
      </c>
      <c r="F6" s="88">
        <f>SUMIFS(工资明细!AP:AP,工资明细!BM:BM,$F$1,工资明细!H:H,A6,工资明细!I:I,B6,工资明细!J:J,C6)</f>
        <v>0</v>
      </c>
      <c r="G6" s="88">
        <f>SUMIFS(工资明细!AQ:AQ,工资明细!BM:BM,$F$1,工资明细!H:H,A6,工资明细!I:I,B6,工资明细!J:J,C6)</f>
        <v>0</v>
      </c>
      <c r="H6" s="88">
        <f>SUMIFS(工资明细!AR:AR,工资明细!BM:BM,$F$1,工资明细!H:H,A6,工资明细!I:I,B6,工资明细!J:J,C6)</f>
        <v>0</v>
      </c>
      <c r="I6" s="88">
        <f>F6+G6+H6</f>
        <v>0</v>
      </c>
      <c r="J6" s="88">
        <f>SUMIFS(工资明细!AT:AT,工资明细!BM:BM,$F$1,工资明细!H:H,A6,工资明细!I:I,B6,工资明细!J:J,C6)</f>
        <v>0</v>
      </c>
      <c r="K6" s="88">
        <f>SUMIFS(工资明细!AU:AU,工资明细!BM:BM,$F$1,工资明细!H:H,A6,工资明细!I:I,B6,工资明细!J:J,C6)</f>
        <v>0</v>
      </c>
      <c r="L6" s="88">
        <f>SUMIFS(工资明细!AV:AV,工资明细!BM:BM,$F$1,工资明细!H:H,A6,工资明细!I:I,B6,工资明细!J:J,C6)</f>
        <v>0</v>
      </c>
      <c r="M6" s="89">
        <f>SUMIFS(工资明细!AW:AW,工资明细!BM:BM,$F$1,工资明细!H:H,A6,工资明细!I:I,B6,工资明细!J:J,C6)</f>
        <v>0</v>
      </c>
      <c r="N6" s="90">
        <f>SUMIFS(工资明细!AX:AX,工资明细!BM:BM,$F$1,工资明细!H:H,A6,工资明细!I:I,B6,工资明细!J:J,C6)</f>
        <v>0</v>
      </c>
    </row>
    <row r="7" customHeight="1" spans="1:14">
      <c r="A7" s="42" t="s">
        <v>47</v>
      </c>
      <c r="B7" s="43"/>
      <c r="C7" s="43"/>
      <c r="D7" s="48">
        <f t="shared" ref="D7:N7" si="0">SUM(D6:D6)</f>
        <v>0</v>
      </c>
      <c r="E7" s="49">
        <f t="shared" si="0"/>
        <v>0</v>
      </c>
      <c r="F7" s="49">
        <f t="shared" si="0"/>
        <v>0</v>
      </c>
      <c r="G7" s="49">
        <f t="shared" si="0"/>
        <v>0</v>
      </c>
      <c r="H7" s="49">
        <f t="shared" si="0"/>
        <v>0</v>
      </c>
      <c r="I7" s="49">
        <f t="shared" si="0"/>
        <v>0</v>
      </c>
      <c r="J7" s="49">
        <f t="shared" si="0"/>
        <v>0</v>
      </c>
      <c r="K7" s="49">
        <f t="shared" si="0"/>
        <v>0</v>
      </c>
      <c r="L7" s="49">
        <f t="shared" si="0"/>
        <v>0</v>
      </c>
      <c r="M7" s="49">
        <f t="shared" si="0"/>
        <v>0</v>
      </c>
      <c r="N7" s="50">
        <f t="shared" si="0"/>
        <v>0</v>
      </c>
    </row>
    <row r="9" ht="30" customHeight="1" spans="1:14">
      <c r="A9" s="51" t="s">
        <v>48</v>
      </c>
      <c r="B9" s="51"/>
      <c r="C9" s="51"/>
      <c r="D9" s="51"/>
      <c r="E9" s="51"/>
      <c r="F9" s="51"/>
      <c r="G9" s="51"/>
      <c r="H9" s="34"/>
      <c r="I9" s="34"/>
      <c r="J9" s="34"/>
    </row>
    <row r="10" customHeight="1" spans="1:14">
      <c r="A10" s="36" t="s">
        <v>4</v>
      </c>
      <c r="B10" s="37" t="s">
        <v>5</v>
      </c>
      <c r="C10" s="37" t="s">
        <v>6</v>
      </c>
      <c r="D10" s="37" t="s">
        <v>7</v>
      </c>
      <c r="E10" s="37" t="s">
        <v>49</v>
      </c>
      <c r="F10" s="37" t="s">
        <v>50</v>
      </c>
      <c r="G10" s="53" t="s">
        <v>47</v>
      </c>
    </row>
    <row r="11" customHeight="1" spans="1:14">
      <c r="A11" s="39"/>
      <c r="B11" s="40"/>
      <c r="C11" s="40"/>
      <c r="D11" s="40" t="s">
        <v>7</v>
      </c>
      <c r="E11" s="40" t="s">
        <v>18</v>
      </c>
      <c r="F11" s="40" t="s">
        <v>18</v>
      </c>
      <c r="G11" s="54"/>
    </row>
    <row r="12" customHeight="1" spans="1:14">
      <c r="A12" s="85" t="s">
        <v>29</v>
      </c>
      <c r="B12" s="86" t="s">
        <v>61</v>
      </c>
      <c r="C12" s="86" t="s">
        <v>62</v>
      </c>
      <c r="D12" s="87">
        <f>COUNTIFS(工资明细!BM:BM,$F$1,工资明细!H:H,A12,工资明细!I:I,B12,工资明细!J:J,C12)</f>
        <v>0</v>
      </c>
      <c r="E12" s="88">
        <f>SUMIFS(工资明细!BE:BE,工资明细!BM:BM,$F$1,工资明细!H:H,A12,工资明细!I:I,B12,工资明细!J:J,C12)</f>
        <v>0</v>
      </c>
      <c r="F12" s="89">
        <f>SUMIFS(工资明细!AT:AT,工资明细!BM:BM,$F$1,工资明细!H:H,A12,工资明细!I:I,B12,工资明细!J:J,C12)</f>
        <v>0</v>
      </c>
      <c r="G12" s="92">
        <f>SUM(E12:F12)</f>
        <v>0</v>
      </c>
    </row>
    <row r="13" s="28" customFormat="1" customHeight="1" spans="1:14">
      <c r="A13" s="42" t="s">
        <v>47</v>
      </c>
      <c r="B13" s="43"/>
      <c r="C13" s="43"/>
      <c r="D13" s="48">
        <f>SUM(D12:D12)</f>
        <v>0</v>
      </c>
      <c r="E13" s="49">
        <f>SUM(E12:E12)</f>
        <v>0</v>
      </c>
      <c r="F13" s="49">
        <f>SUM(F12:F12)</f>
        <v>0</v>
      </c>
      <c r="G13" s="49">
        <f>SUM(G12:G12)</f>
        <v>0</v>
      </c>
    </row>
    <row r="14" ht="14.25" customHeight="1"/>
    <row r="15" s="28" customFormat="1" ht="30" customHeight="1" spans="1:14">
      <c r="A15" s="80" t="s">
        <v>51</v>
      </c>
      <c r="B15" s="80"/>
      <c r="C15" s="80"/>
      <c r="D15" s="80"/>
      <c r="E15" s="80"/>
      <c r="F15" s="80"/>
      <c r="G15" s="80"/>
    </row>
    <row r="16" s="28" customFormat="1" customHeight="1" spans="1:14">
      <c r="A16" s="36" t="s">
        <v>4</v>
      </c>
      <c r="B16" s="37" t="s">
        <v>5</v>
      </c>
      <c r="C16" s="37" t="s">
        <v>6</v>
      </c>
      <c r="D16" s="37" t="s">
        <v>7</v>
      </c>
      <c r="E16" s="37" t="s">
        <v>52</v>
      </c>
      <c r="F16" s="37" t="s">
        <v>53</v>
      </c>
      <c r="G16" s="37" t="s">
        <v>54</v>
      </c>
      <c r="H16" s="37" t="s">
        <v>55</v>
      </c>
      <c r="I16" s="37" t="s">
        <v>56</v>
      </c>
      <c r="J16" s="37" t="s">
        <v>57</v>
      </c>
      <c r="K16" s="37" t="s">
        <v>58</v>
      </c>
      <c r="L16" s="38" t="s">
        <v>47</v>
      </c>
    </row>
    <row r="17" s="28" customFormat="1" customHeight="1" spans="1:12">
      <c r="A17" s="39"/>
      <c r="B17" s="40"/>
      <c r="C17" s="40"/>
      <c r="D17" s="40"/>
      <c r="E17" s="40" t="s">
        <v>18</v>
      </c>
      <c r="F17" s="40" t="s">
        <v>18</v>
      </c>
      <c r="G17" s="40" t="s">
        <v>18</v>
      </c>
      <c r="H17" s="40" t="s">
        <v>18</v>
      </c>
      <c r="I17" s="40" t="s">
        <v>18</v>
      </c>
      <c r="J17" s="40" t="s">
        <v>18</v>
      </c>
      <c r="K17" s="40" t="s">
        <v>18</v>
      </c>
      <c r="L17" s="41"/>
    </row>
    <row r="18" customHeight="1" spans="1:12">
      <c r="A18" s="85" t="s">
        <v>29</v>
      </c>
      <c r="B18" s="86" t="s">
        <v>61</v>
      </c>
      <c r="C18" s="86" t="s">
        <v>62</v>
      </c>
      <c r="D18" s="87">
        <f>COUNTIFS(工资明细!BM:BM,$F$1,工资明细!H:H,A18,工资明细!I:I,B18,工资明细!J:J,C18)</f>
        <v>0</v>
      </c>
      <c r="E18" s="88">
        <f>SUMIFS(工资明细!AY:AY,工资明细!BM:BM,$F$1,工资明细!H:H,A18,工资明细!I:I,B18,工资明细!J:J,C18)</f>
        <v>0</v>
      </c>
      <c r="F18" s="89">
        <f>SUMIFS(工资明细!AZ:AZ,工资明细!BM:BM,$F$1,工资明细!H:H,A18,工资明细!I:I,B18,工资明细!J:J,C18)</f>
        <v>0</v>
      </c>
      <c r="G18" s="89">
        <f>SUMIFS(工资明细!BA:BA,工资明细!BM:BM,$F$1,工资明细!H:H,A18,工资明细!I:I,B18,工资明细!J:J,C18)</f>
        <v>0</v>
      </c>
      <c r="H18" s="89">
        <f>SUMIFS(工资明细!BB:BB,工资明细!BM:BM,$F$1,工资明细!H:H,A18,工资明细!I:I,B18,工资明细!J:J,C18)</f>
        <v>0</v>
      </c>
      <c r="I18" s="89">
        <f>SUMIFS(工资明细!BC:BC,工资明细!BM:BM,$F$1,工资明细!H:H,A18,工资明细!I:I,B18,工资明细!J:J,C18)</f>
        <v>0</v>
      </c>
      <c r="J18" s="93">
        <f>SUM(E18:I18)</f>
        <v>0</v>
      </c>
      <c r="K18" s="94">
        <f>SUMIFS(工资明细!AS:AS,工资明细!BM:BM,$F$1,工资明细!H:H,A18,工资明细!I:I,B18,工资明细!J:J,C18)</f>
        <v>0</v>
      </c>
      <c r="L18" s="92">
        <f>SUM(J18:K18)</f>
        <v>0</v>
      </c>
    </row>
    <row r="19" s="28" customFormat="1" customHeight="1" spans="1:12">
      <c r="A19" s="42" t="s">
        <v>47</v>
      </c>
      <c r="B19" s="43"/>
      <c r="C19" s="43"/>
      <c r="D19" s="48">
        <f t="shared" ref="D19:L19" si="1">SUM(D18:D18)</f>
        <v>0</v>
      </c>
      <c r="E19" s="49">
        <f t="shared" si="1"/>
        <v>0</v>
      </c>
      <c r="F19" s="49">
        <f t="shared" si="1"/>
        <v>0</v>
      </c>
      <c r="G19" s="49">
        <f t="shared" si="1"/>
        <v>0</v>
      </c>
      <c r="H19" s="49">
        <f t="shared" si="1"/>
        <v>0</v>
      </c>
      <c r="I19" s="49">
        <f t="shared" si="1"/>
        <v>0</v>
      </c>
      <c r="J19" s="49">
        <f t="shared" si="1"/>
        <v>0</v>
      </c>
      <c r="K19" s="49">
        <f t="shared" si="1"/>
        <v>0</v>
      </c>
      <c r="L19" s="49">
        <f t="shared" si="1"/>
        <v>0</v>
      </c>
    </row>
    <row r="20" ht="30" customHeight="1"/>
  </sheetData>
  <protectedRanges>
    <protectedRange sqref="M18" name="区域1_4_1_1_1"/>
    <protectedRange sqref="H12" name="区域1_4_1_2_1_1"/>
    <protectedRange sqref="D6" name="区域1_4_1_3_1_1_1"/>
  </protectedRanges>
  <mergeCells count="20">
    <mergeCell ref="A3:K3"/>
    <mergeCell ref="A7:C7"/>
    <mergeCell ref="A9:G9"/>
    <mergeCell ref="A13:C13"/>
    <mergeCell ref="A15:G15"/>
    <mergeCell ref="A19:C19"/>
    <mergeCell ref="A4:A5"/>
    <mergeCell ref="A10:A11"/>
    <mergeCell ref="A16:A17"/>
    <mergeCell ref="B4:B5"/>
    <mergeCell ref="B10:B11"/>
    <mergeCell ref="B16:B17"/>
    <mergeCell ref="C4:C5"/>
    <mergeCell ref="C10:C11"/>
    <mergeCell ref="C16:C17"/>
    <mergeCell ref="D4:D5"/>
    <mergeCell ref="D10:D11"/>
    <mergeCell ref="D16:D17"/>
    <mergeCell ref="G10:G11"/>
    <mergeCell ref="L16:L17"/>
  </mergeCells>
  <pageMargins left="0.75" right="0.75" top="1" bottom="1" header="0.5" footer="0.5"/>
  <pageSetup paperSize="9" scale="7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showZeros="0" view="pageBreakPreview" zoomScaleNormal="100" workbookViewId="0">
      <selection activeCell="N41" sqref="N41"/>
    </sheetView>
  </sheetViews>
  <sheetFormatPr defaultColWidth="9" defaultRowHeight="18" customHeight="1"/>
  <cols>
    <col min="1" max="1" width="13.1238938053097" style="28" customWidth="1"/>
    <col min="2" max="2" width="9.6283185840708" style="28" customWidth="1"/>
    <col min="3" max="3" width="9.50442477876106" style="28" customWidth="1"/>
    <col min="4" max="4" width="4.3716814159292" style="28" customWidth="1"/>
    <col min="5" max="5" width="11.5044247787611" style="28" customWidth="1"/>
    <col min="6" max="6" width="9.3716814159292" style="28" customWidth="1"/>
    <col min="7" max="7" width="10.3716814159292" style="28" customWidth="1"/>
    <col min="8" max="8" width="7.87610619469027" style="28" customWidth="1"/>
    <col min="9" max="10" width="10.3716814159292" style="28" customWidth="1"/>
    <col min="11" max="11" width="9.3716814159292" style="28" customWidth="1"/>
    <col min="12" max="12" width="10.3716814159292" style="28" customWidth="1"/>
    <col min="13" max="13" width="7.12389380530973" style="28" customWidth="1"/>
    <col min="14" max="14" width="11.5044247787611" style="28" customWidth="1"/>
    <col min="15" max="15" width="13.3716814159292" style="28" customWidth="1"/>
    <col min="16" max="17" width="10.0619469026549" style="28"/>
    <col min="18" max="16384" width="9" style="28"/>
  </cols>
  <sheetData>
    <row r="1" s="28" customFormat="1" ht="30" customHeight="1" spans="1:14">
      <c r="A1" s="30" t="s">
        <v>0</v>
      </c>
      <c r="B1" s="31">
        <f>北分人力成本!B1</f>
        <v>46204</v>
      </c>
      <c r="C1" s="32"/>
      <c r="E1" s="33" t="s">
        <v>1</v>
      </c>
      <c r="F1" s="34" t="s">
        <v>63</v>
      </c>
      <c r="G1" s="34"/>
      <c r="H1" s="34"/>
    </row>
    <row r="2" s="28" customFormat="1" ht="17.25" customHeight="1"/>
    <row r="3" s="28" customFormat="1" ht="30" customHeight="1" spans="1:14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s="28" customFormat="1" customHeight="1" spans="1:14">
      <c r="A6" s="95" t="s">
        <v>64</v>
      </c>
      <c r="B6" s="96"/>
      <c r="C6" s="96"/>
      <c r="D6" s="87">
        <f>COUNTIFS(工资明细!BM:BM,$F$1,工资明细!H:H,A6,工资明细!I:I,B6,工资明细!J:J,C6)</f>
        <v>0</v>
      </c>
      <c r="E6" s="88">
        <f>SUMIFS(工资明细!AO:AO,工资明细!BM:BM,$F$1,工资明细!H:H,A6,工资明细!I:I,B6,工资明细!J:J,C6)</f>
        <v>0</v>
      </c>
      <c r="F6" s="88">
        <f>SUMIFS(工资明细!AP:AP,工资明细!BM:BM,$F$1,工资明细!H:H,A6,工资明细!I:I,B6,工资明细!J:J,C6)</f>
        <v>0</v>
      </c>
      <c r="G6" s="88">
        <f>SUMIFS(工资明细!AQ:AQ,工资明细!BM:BM,$F$1,工资明细!H:H,A6,工资明细!I:I,B6,工资明细!J:J,C6)</f>
        <v>0</v>
      </c>
      <c r="H6" s="88">
        <f>SUMIFS(工资明细!AR:AR,工资明细!BM:BM,$F$1,工资明细!H:H,A6,工资明细!I:I,B6,工资明细!J:J,C6)</f>
        <v>0</v>
      </c>
      <c r="I6" s="88">
        <f>F6+G6+H6</f>
        <v>0</v>
      </c>
      <c r="J6" s="88">
        <f>SUMIFS(工资明细!AT:AT,工资明细!BM:BM,$F$1,工资明细!H:H,A6,工资明细!I:I,B6,工资明细!J:J,C6)</f>
        <v>0</v>
      </c>
      <c r="K6" s="88">
        <f>SUMIFS(工资明细!AU:AU,工资明细!BM:BM,$F$1,工资明细!H:H,A6,工资明细!I:I,B6,工资明细!J:J,C6)</f>
        <v>0</v>
      </c>
      <c r="L6" s="88">
        <f>SUMIFS(工资明细!AV:AV,工资明细!BM:BM,$F$1,工资明细!H:H,A6,工资明细!I:I,B6,工资明细!J:J,C6)</f>
        <v>0</v>
      </c>
      <c r="M6" s="89">
        <f>SUMIFS(工资明细!AW:AW,工资明细!BM:BM,$F$1,工资明细!H:H,A6,工资明细!I:I,B6,工资明细!J:J,C6)</f>
        <v>0</v>
      </c>
      <c r="N6" s="90">
        <f>SUMIFS(工资明细!AX:AX,工资明细!BM:BM,$F$1,工资明细!H:H,A6,工资明细!I:I,B6,工资明细!J:J,C6)</f>
        <v>0</v>
      </c>
    </row>
    <row r="7" s="28" customFormat="1" customHeight="1" spans="1:14">
      <c r="A7" s="95" t="s">
        <v>65</v>
      </c>
      <c r="B7" s="96"/>
      <c r="C7" s="96"/>
      <c r="D7" s="87">
        <f>COUNTIFS(工资明细!BM:BM,$F$1,工资明细!H:H,A7,工资明细!I:I,B7,工资明细!J:J,C7)</f>
        <v>0</v>
      </c>
      <c r="E7" s="88">
        <f>SUMIFS(工资明细!AO:AO,工资明细!BM:BM,$F$1,工资明细!H:H,A7,工资明细!I:I,B7,工资明细!J:J,C7)</f>
        <v>0</v>
      </c>
      <c r="F7" s="88">
        <f>SUMIFS(工资明细!AP:AP,工资明细!BM:BM,$F$1,工资明细!H:H,A7,工资明细!I:I,B7,工资明细!J:J,C7)</f>
        <v>0</v>
      </c>
      <c r="G7" s="88">
        <f>SUMIFS(工资明细!AQ:AQ,工资明细!BM:BM,$F$1,工资明细!H:H,A7,工资明细!I:I,B7,工资明细!J:J,C7)</f>
        <v>0</v>
      </c>
      <c r="H7" s="88">
        <f>SUMIFS(工资明细!AR:AR,工资明细!BM:BM,$F$1,工资明细!H:H,A7,工资明细!I:I,B7,工资明细!J:J,C7)</f>
        <v>0</v>
      </c>
      <c r="I7" s="88">
        <f t="shared" ref="I7:I14" si="0">F7+G7+H7</f>
        <v>0</v>
      </c>
      <c r="J7" s="88">
        <f>SUMIFS(工资明细!AT:AT,工资明细!BM:BM,$F$1,工资明细!H:H,A7,工资明细!I:I,B7,工资明细!J:J,C7)</f>
        <v>0</v>
      </c>
      <c r="K7" s="88">
        <f>SUMIFS(工资明细!AU:AU,工资明细!BM:BM,$F$1,工资明细!H:H,A7,工资明细!I:I,B7,工资明细!J:J,C7)</f>
        <v>0</v>
      </c>
      <c r="L7" s="88">
        <f>SUMIFS(工资明细!AV:AV,工资明细!BM:BM,$F$1,工资明细!H:H,A7,工资明细!I:I,B7,工资明细!J:J,C7)</f>
        <v>0</v>
      </c>
      <c r="M7" s="89">
        <f>SUMIFS(工资明细!AW:AW,工资明细!BM:BM,$F$1,工资明细!H:H,A7,工资明细!I:I,B7,工资明细!J:J,C7)</f>
        <v>0</v>
      </c>
      <c r="N7" s="90">
        <f>SUMIFS(工资明细!AX:AX,工资明细!BM:BM,$F$1,工资明细!H:H,A7,工资明细!I:I,B7,工资明细!J:J,C7)</f>
        <v>0</v>
      </c>
    </row>
    <row r="8" s="28" customFormat="1" customHeight="1" spans="1:14">
      <c r="A8" s="95" t="s">
        <v>23</v>
      </c>
      <c r="B8" s="96" t="s">
        <v>66</v>
      </c>
      <c r="C8" s="96"/>
      <c r="D8" s="87">
        <f>COUNTIFS(工资明细!BM:BM,$F$1,工资明细!H:H,A8,工资明细!I:I,B8,工资明细!J:J,C8)</f>
        <v>0</v>
      </c>
      <c r="E8" s="88">
        <f>SUMIFS(工资明细!AO:AO,工资明细!BM:BM,$F$1,工资明细!H:H,A8,工资明细!I:I,B8,工资明细!J:J,C8)</f>
        <v>0</v>
      </c>
      <c r="F8" s="88">
        <f>SUMIFS(工资明细!AP:AP,工资明细!BM:BM,$F$1,工资明细!H:H,A8,工资明细!I:I,B8,工资明细!J:J,C8)</f>
        <v>0</v>
      </c>
      <c r="G8" s="88">
        <f>SUMIFS(工资明细!AQ:AQ,工资明细!BM:BM,$F$1,工资明细!H:H,A8,工资明细!I:I,B8,工资明细!J:J,C8)</f>
        <v>0</v>
      </c>
      <c r="H8" s="88">
        <f>SUMIFS(工资明细!AR:AR,工资明细!BM:BM,$F$1,工资明细!H:H,A8,工资明细!I:I,B8,工资明细!J:J,C8)</f>
        <v>0</v>
      </c>
      <c r="I8" s="88">
        <f t="shared" si="0"/>
        <v>0</v>
      </c>
      <c r="J8" s="88">
        <f>SUMIFS(工资明细!AT:AT,工资明细!BM:BM,$F$1,工资明细!H:H,A8,工资明细!I:I,B8,工资明细!J:J,C8)</f>
        <v>0</v>
      </c>
      <c r="K8" s="88">
        <f>SUMIFS(工资明细!AU:AU,工资明细!BM:BM,$F$1,工资明细!H:H,A8,工资明细!I:I,B8,工资明细!J:J,C8)</f>
        <v>0</v>
      </c>
      <c r="L8" s="88">
        <f>SUMIFS(工资明细!AV:AV,工资明细!BM:BM,$F$1,工资明细!H:H,A8,工资明细!I:I,B8,工资明细!J:J,C8)</f>
        <v>0</v>
      </c>
      <c r="M8" s="89">
        <f>SUMIFS(工资明细!AW:AW,工资明细!BM:BM,$F$1,工资明细!H:H,A8,工资明细!I:I,B8,工资明细!J:J,C8)</f>
        <v>0</v>
      </c>
      <c r="N8" s="90">
        <f>SUMIFS(工资明细!AX:AX,工资明细!BM:BM,$F$1,工资明细!H:H,A8,工资明细!I:I,B8,工资明细!J:J,C8)</f>
        <v>0</v>
      </c>
    </row>
    <row r="9" s="28" customFormat="1" customHeight="1" spans="1:14">
      <c r="A9" s="95" t="s">
        <v>23</v>
      </c>
      <c r="B9" s="96" t="s">
        <v>24</v>
      </c>
      <c r="C9" s="96"/>
      <c r="D9" s="87">
        <f>COUNTIFS(工资明细!BM:BM,$F$1,工资明细!H:H,A9,工资明细!I:I,B9,工资明细!J:J,C9)</f>
        <v>0</v>
      </c>
      <c r="E9" s="88">
        <f>SUMIFS(工资明细!AO:AO,工资明细!BM:BM,$F$1,工资明细!H:H,A9,工资明细!I:I,B9,工资明细!J:J,C9)</f>
        <v>0</v>
      </c>
      <c r="F9" s="88">
        <f>SUMIFS(工资明细!AP:AP,工资明细!BM:BM,$F$1,工资明细!H:H,A9,工资明细!I:I,B9,工资明细!J:J,C9)</f>
        <v>0</v>
      </c>
      <c r="G9" s="88">
        <f>SUMIFS(工资明细!AQ:AQ,工资明细!BM:BM,$F$1,工资明细!H:H,A9,工资明细!I:I,B9,工资明细!J:J,C9)</f>
        <v>0</v>
      </c>
      <c r="H9" s="88">
        <f>SUMIFS(工资明细!AR:AR,工资明细!BM:BM,$F$1,工资明细!H:H,A9,工资明细!I:I,B9,工资明细!J:J,C9)</f>
        <v>0</v>
      </c>
      <c r="I9" s="88">
        <f t="shared" si="0"/>
        <v>0</v>
      </c>
      <c r="J9" s="88">
        <f>SUMIFS(工资明细!AT:AT,工资明细!BM:BM,$F$1,工资明细!H:H,A9,工资明细!I:I,B9,工资明细!J:J,C9)</f>
        <v>0</v>
      </c>
      <c r="K9" s="88">
        <f>SUMIFS(工资明细!AU:AU,工资明细!BM:BM,$F$1,工资明细!H:H,A9,工资明细!I:I,B9,工资明细!J:J,C9)</f>
        <v>0</v>
      </c>
      <c r="L9" s="88">
        <f>SUMIFS(工资明细!AV:AV,工资明细!BM:BM,$F$1,工资明细!H:H,A9,工资明细!I:I,B9,工资明细!J:J,C9)</f>
        <v>0</v>
      </c>
      <c r="M9" s="89">
        <f>SUMIFS(工资明细!AW:AW,工资明细!BM:BM,$F$1,工资明细!H:H,A9,工资明细!I:I,B9,工资明细!J:J,C9)</f>
        <v>0</v>
      </c>
      <c r="N9" s="90">
        <f>SUMIFS(工资明细!AX:AX,工资明细!BM:BM,$F$1,工资明细!H:H,A9,工资明细!I:I,B9,工资明细!J:J,C9)</f>
        <v>0</v>
      </c>
    </row>
    <row r="10" s="28" customFormat="1" customHeight="1" spans="1:14">
      <c r="A10" s="95" t="s">
        <v>23</v>
      </c>
      <c r="B10" s="96" t="s">
        <v>25</v>
      </c>
      <c r="C10" s="96" t="s">
        <v>27</v>
      </c>
      <c r="D10" s="87">
        <f>COUNTIFS(工资明细!BM:BM,$F$1,工资明细!H:H,A10,工资明细!I:I,B10,工资明细!J:J,C10)</f>
        <v>0</v>
      </c>
      <c r="E10" s="88">
        <f>SUMIFS(工资明细!AO:AO,工资明细!BM:BM,$F$1,工资明细!H:H,A10,工资明细!I:I,B10,工资明细!J:J,C10)</f>
        <v>0</v>
      </c>
      <c r="F10" s="88">
        <f>SUMIFS(工资明细!AP:AP,工资明细!BM:BM,$F$1,工资明细!H:H,A10,工资明细!I:I,B10,工资明细!J:J,C10)</f>
        <v>0</v>
      </c>
      <c r="G10" s="88">
        <f>SUMIFS(工资明细!AQ:AQ,工资明细!BM:BM,$F$1,工资明细!H:H,A10,工资明细!I:I,B10,工资明细!J:J,C10)</f>
        <v>0</v>
      </c>
      <c r="H10" s="88">
        <f>SUMIFS(工资明细!AR:AR,工资明细!BM:BM,$F$1,工资明细!H:H,A10,工资明细!I:I,B10,工资明细!J:J,C10)</f>
        <v>0</v>
      </c>
      <c r="I10" s="88">
        <f t="shared" si="0"/>
        <v>0</v>
      </c>
      <c r="J10" s="88">
        <f>SUMIFS(工资明细!AT:AT,工资明细!BM:BM,$F$1,工资明细!H:H,A10,工资明细!I:I,B10,工资明细!J:J,C10)</f>
        <v>0</v>
      </c>
      <c r="K10" s="88">
        <f>SUMIFS(工资明细!AU:AU,工资明细!BM:BM,$F$1,工资明细!H:H,A10,工资明细!I:I,B10,工资明细!J:J,C10)</f>
        <v>0</v>
      </c>
      <c r="L10" s="88">
        <f>SUMIFS(工资明细!AV:AV,工资明细!BM:BM,$F$1,工资明细!H:H,A10,工资明细!I:I,B10,工资明细!J:J,C10)</f>
        <v>0</v>
      </c>
      <c r="M10" s="89">
        <f>SUMIFS(工资明细!AW:AW,工资明细!BM:BM,$F$1,工资明细!H:H,A10,工资明细!I:I,B10,工资明细!J:J,C10)</f>
        <v>0</v>
      </c>
      <c r="N10" s="90">
        <f>SUMIFS(工资明细!AX:AX,工资明细!BM:BM,$F$1,工资明细!H:H,A10,工资明细!I:I,B10,工资明细!J:J,C10)</f>
        <v>0</v>
      </c>
    </row>
    <row r="11" s="28" customFormat="1" customHeight="1" spans="1:14">
      <c r="A11" s="95" t="s">
        <v>29</v>
      </c>
      <c r="B11" s="96" t="s">
        <v>61</v>
      </c>
      <c r="C11" s="96" t="s">
        <v>67</v>
      </c>
      <c r="D11" s="87">
        <f>COUNTIFS(工资明细!BM:BM,$F$1,工资明细!H:H,A11,工资明细!I:I,B11,工资明细!J:J,C11)</f>
        <v>0</v>
      </c>
      <c r="E11" s="88">
        <f>SUMIFS(工资明细!AO:AO,工资明细!BM:BM,$F$1,工资明细!H:H,A11,工资明细!I:I,B11,工资明细!J:J,C11)</f>
        <v>0</v>
      </c>
      <c r="F11" s="88">
        <f>SUMIFS(工资明细!AP:AP,工资明细!BM:BM,$F$1,工资明细!H:H,A11,工资明细!I:I,B11,工资明细!J:J,C11)</f>
        <v>0</v>
      </c>
      <c r="G11" s="88">
        <f>SUMIFS(工资明细!AQ:AQ,工资明细!BM:BM,$F$1,工资明细!H:H,A11,工资明细!I:I,B11,工资明细!J:J,C11)</f>
        <v>0</v>
      </c>
      <c r="H11" s="88">
        <f>SUMIFS(工资明细!AR:AR,工资明细!BM:BM,$F$1,工资明细!H:H,A11,工资明细!I:I,B11,工资明细!J:J,C11)</f>
        <v>0</v>
      </c>
      <c r="I11" s="88">
        <f t="shared" si="0"/>
        <v>0</v>
      </c>
      <c r="J11" s="88">
        <f>SUMIFS(工资明细!AT:AT,工资明细!BM:BM,$F$1,工资明细!H:H,A11,工资明细!I:I,B11,工资明细!J:J,C11)</f>
        <v>0</v>
      </c>
      <c r="K11" s="88">
        <f>SUMIFS(工资明细!AU:AU,工资明细!BM:BM,$F$1,工资明细!H:H,A11,工资明细!I:I,B11,工资明细!J:J,C11)</f>
        <v>0</v>
      </c>
      <c r="L11" s="88">
        <f>SUMIFS(工资明细!AV:AV,工资明细!BM:BM,$F$1,工资明细!H:H,A11,工资明细!I:I,B11,工资明细!J:J,C11)</f>
        <v>0</v>
      </c>
      <c r="M11" s="89">
        <f>SUMIFS(工资明细!AW:AW,工资明细!BM:BM,$F$1,工资明细!H:H,A11,工资明细!I:I,B11,工资明细!J:J,C11)</f>
        <v>0</v>
      </c>
      <c r="N11" s="90">
        <f>SUMIFS(工资明细!AX:AX,工资明细!BM:BM,$F$1,工资明细!H:H,A11,工资明细!I:I,B11,工资明细!J:J,C11)</f>
        <v>0</v>
      </c>
    </row>
    <row r="12" s="28" customFormat="1" customHeight="1" spans="1:14">
      <c r="A12" s="95" t="s">
        <v>29</v>
      </c>
      <c r="B12" s="96" t="s">
        <v>32</v>
      </c>
      <c r="C12" s="96" t="s">
        <v>68</v>
      </c>
      <c r="D12" s="87">
        <f>COUNTIFS(工资明细!BM:BM,$F$1,工资明细!H:H,A12,工资明细!I:I,B12,工资明细!J:J,C12)</f>
        <v>0</v>
      </c>
      <c r="E12" s="88">
        <f>SUMIFS(工资明细!AO:AO,工资明细!BM:BM,$F$1,工资明细!H:H,A12,工资明细!I:I,B12,工资明细!J:J,C12)</f>
        <v>0</v>
      </c>
      <c r="F12" s="88">
        <f>SUMIFS(工资明细!AP:AP,工资明细!BM:BM,$F$1,工资明细!H:H,A12,工资明细!I:I,B12,工资明细!J:J,C12)</f>
        <v>0</v>
      </c>
      <c r="G12" s="88">
        <f>SUMIFS(工资明细!AQ:AQ,工资明细!BM:BM,$F$1,工资明细!H:H,A12,工资明细!I:I,B12,工资明细!J:J,C12)</f>
        <v>0</v>
      </c>
      <c r="H12" s="88">
        <f>SUMIFS(工资明细!AR:AR,工资明细!BM:BM,$F$1,工资明细!H:H,A12,工资明细!I:I,B12,工资明细!J:J,C12)</f>
        <v>0</v>
      </c>
      <c r="I12" s="88">
        <f t="shared" si="0"/>
        <v>0</v>
      </c>
      <c r="J12" s="88">
        <f>SUMIFS(工资明细!AT:AT,工资明细!BM:BM,$F$1,工资明细!H:H,A12,工资明细!I:I,B12,工资明细!J:J,C12)</f>
        <v>0</v>
      </c>
      <c r="K12" s="88">
        <f>SUMIFS(工资明细!AU:AU,工资明细!BM:BM,$F$1,工资明细!H:H,A12,工资明细!I:I,B12,工资明细!J:J,C12)</f>
        <v>0</v>
      </c>
      <c r="L12" s="88">
        <f>SUMIFS(工资明细!AV:AV,工资明细!BM:BM,$F$1,工资明细!H:H,A12,工资明细!I:I,B12,工资明细!J:J,C12)</f>
        <v>0</v>
      </c>
      <c r="M12" s="89">
        <f>SUMIFS(工资明细!AW:AW,工资明细!BM:BM,$F$1,工资明细!H:H,A12,工资明细!I:I,B12,工资明细!J:J,C12)</f>
        <v>0</v>
      </c>
      <c r="N12" s="90">
        <f>SUMIFS(工资明细!AX:AX,工资明细!BM:BM,$F$1,工资明细!H:H,A12,工资明细!I:I,B12,工资明细!J:J,C12)</f>
        <v>0</v>
      </c>
    </row>
    <row r="13" s="28" customFormat="1" customHeight="1" spans="1:14">
      <c r="A13" s="95" t="s">
        <v>29</v>
      </c>
      <c r="B13" s="97" t="s">
        <v>32</v>
      </c>
      <c r="C13" s="97">
        <v>0</v>
      </c>
      <c r="D13" s="87">
        <f>COUNTIFS(工资明细!BM:BM,$F$1,工资明细!H:H,A13,工资明细!I:I,B13,工资明细!J:J,C13)</f>
        <v>0</v>
      </c>
      <c r="E13" s="88">
        <f>SUMIFS(工资明细!AO:AO,工资明细!BM:BM,$F$1,工资明细!H:H,A13,工资明细!I:I,B13,工资明细!J:J,C13)</f>
        <v>0</v>
      </c>
      <c r="F13" s="88">
        <f>SUMIFS(工资明细!AP:AP,工资明细!BM:BM,$F$1,工资明细!H:H,A13,工资明细!I:I,B13,工资明细!J:J,C13)</f>
        <v>0</v>
      </c>
      <c r="G13" s="88">
        <f>SUMIFS(工资明细!AQ:AQ,工资明细!BM:BM,$F$1,工资明细!H:H,A13,工资明细!I:I,B13,工资明细!J:J,C13)</f>
        <v>0</v>
      </c>
      <c r="H13" s="88">
        <f>SUMIFS(工资明细!AR:AR,工资明细!BM:BM,$F$1,工资明细!H:H,A13,工资明细!I:I,B13,工资明细!J:J,C13)</f>
        <v>0</v>
      </c>
      <c r="I13" s="88">
        <f t="shared" si="0"/>
        <v>0</v>
      </c>
      <c r="J13" s="88">
        <f>SUMIFS(工资明细!AT:AT,工资明细!BM:BM,$F$1,工资明细!H:H,A13,工资明细!I:I,B13,工资明细!J:J,C13)</f>
        <v>0</v>
      </c>
      <c r="K13" s="88">
        <f>SUMIFS(工资明细!AU:AU,工资明细!BM:BM,$F$1,工资明细!H:H,A13,工资明细!I:I,B13,工资明细!J:J,C13)</f>
        <v>0</v>
      </c>
      <c r="L13" s="88">
        <f>SUMIFS(工资明细!AV:AV,工资明细!BM:BM,$F$1,工资明细!H:H,A13,工资明细!I:I,B13,工资明细!J:J,C13)</f>
        <v>0</v>
      </c>
      <c r="M13" s="89">
        <f>SUMIFS(工资明细!AW:AW,工资明细!BM:BM,$F$1,工资明细!H:H,A13,工资明细!I:I,B13,工资明细!J:J,C13)</f>
        <v>0</v>
      </c>
      <c r="N13" s="90">
        <f>SUMIFS(工资明细!AX:AX,工资明细!BM:BM,$F$1,工资明细!H:H,A13,工资明细!I:I,B13,工资明细!J:J,C13)</f>
        <v>0</v>
      </c>
    </row>
    <row r="14" s="28" customFormat="1" customHeight="1" spans="1:14">
      <c r="A14" s="95" t="s">
        <v>34</v>
      </c>
      <c r="B14" s="96" t="s">
        <v>35</v>
      </c>
      <c r="C14" s="96" t="s">
        <v>37</v>
      </c>
      <c r="D14" s="87">
        <f>COUNTIFS(工资明细!BM:BM,$F$1,工资明细!H:H,A14,工资明细!I:I,B14,工资明细!J:J,C14)</f>
        <v>0</v>
      </c>
      <c r="E14" s="88">
        <f>SUMIFS(工资明细!AO:AO,工资明细!BM:BM,$F$1,工资明细!H:H,A14,工资明细!I:I,B14,工资明细!J:J,C14)</f>
        <v>0</v>
      </c>
      <c r="F14" s="88">
        <f>SUMIFS(工资明细!AP:AP,工资明细!BM:BM,$F$1,工资明细!H:H,A14,工资明细!I:I,B14,工资明细!J:J,C14)</f>
        <v>0</v>
      </c>
      <c r="G14" s="88">
        <f>SUMIFS(工资明细!AQ:AQ,工资明细!BM:BM,$F$1,工资明细!H:H,A14,工资明细!I:I,B14,工资明细!J:J,C14)</f>
        <v>0</v>
      </c>
      <c r="H14" s="88">
        <f>SUMIFS(工资明细!AR:AR,工资明细!BM:BM,$F$1,工资明细!H:H,A14,工资明细!I:I,B14,工资明细!J:J,C14)</f>
        <v>0</v>
      </c>
      <c r="I14" s="88">
        <f t="shared" si="0"/>
        <v>0</v>
      </c>
      <c r="J14" s="88">
        <f>SUMIFS(工资明细!AT:AT,工资明细!BM:BM,$F$1,工资明细!H:H,A14,工资明细!I:I,B14,工资明细!J:J,C14)</f>
        <v>0</v>
      </c>
      <c r="K14" s="88">
        <f>SUMIFS(工资明细!AU:AU,工资明细!BM:BM,$F$1,工资明细!H:H,A14,工资明细!I:I,B14,工资明细!J:J,C14)</f>
        <v>0</v>
      </c>
      <c r="L14" s="88">
        <f>SUMIFS(工资明细!AV:AV,工资明细!BM:BM,$F$1,工资明细!H:H,A14,工资明细!I:I,B14,工资明细!J:J,C14)</f>
        <v>0</v>
      </c>
      <c r="M14" s="89">
        <f>SUMIFS(工资明细!AW:AW,工资明细!BM:BM,$F$1,工资明细!H:H,A14,工资明细!I:I,B14,工资明细!J:J,C14)</f>
        <v>0</v>
      </c>
      <c r="N14" s="90">
        <f>SUMIFS(工资明细!AX:AX,工资明细!BM:BM,$F$1,工资明细!H:H,A14,工资明细!I:I,B14,工资明细!J:J,C14)</f>
        <v>0</v>
      </c>
    </row>
    <row r="15" s="28" customFormat="1" customHeight="1" spans="1:14">
      <c r="A15" s="42" t="s">
        <v>47</v>
      </c>
      <c r="B15" s="43"/>
      <c r="C15" s="43"/>
      <c r="D15" s="48">
        <f t="shared" ref="D15:N15" si="1">SUM(D6:D14)</f>
        <v>0</v>
      </c>
      <c r="E15" s="49">
        <f t="shared" si="1"/>
        <v>0</v>
      </c>
      <c r="F15" s="49">
        <f t="shared" si="1"/>
        <v>0</v>
      </c>
      <c r="G15" s="49">
        <f t="shared" si="1"/>
        <v>0</v>
      </c>
      <c r="H15" s="49">
        <f t="shared" si="1"/>
        <v>0</v>
      </c>
      <c r="I15" s="49">
        <f t="shared" si="1"/>
        <v>0</v>
      </c>
      <c r="J15" s="49">
        <f t="shared" si="1"/>
        <v>0</v>
      </c>
      <c r="K15" s="49">
        <f t="shared" si="1"/>
        <v>0</v>
      </c>
      <c r="L15" s="49">
        <f t="shared" si="1"/>
        <v>0</v>
      </c>
      <c r="M15" s="49">
        <f t="shared" si="1"/>
        <v>0</v>
      </c>
      <c r="N15" s="50">
        <f t="shared" si="1"/>
        <v>0</v>
      </c>
    </row>
    <row r="16" ht="30" customHeight="1" spans="1:14">
      <c r="A16" s="51"/>
      <c r="B16" s="51"/>
      <c r="C16" s="51"/>
      <c r="D16" s="51"/>
      <c r="E16" s="51"/>
      <c r="F16" s="51"/>
      <c r="G16" s="51"/>
      <c r="H16" s="34"/>
      <c r="I16" s="34"/>
      <c r="J16" s="34"/>
      <c r="M16" s="91"/>
    </row>
    <row r="17" ht="30" customHeight="1" spans="1:13">
      <c r="A17" s="51" t="s">
        <v>48</v>
      </c>
      <c r="B17" s="51"/>
      <c r="C17" s="51"/>
      <c r="D17" s="51"/>
      <c r="E17" s="51"/>
      <c r="F17" s="51"/>
      <c r="G17" s="51"/>
      <c r="H17" s="34"/>
      <c r="I17" s="34"/>
      <c r="J17" s="34"/>
      <c r="M17" s="91"/>
    </row>
    <row r="18" customHeight="1" spans="1:13">
      <c r="A18" s="36" t="s">
        <v>4</v>
      </c>
      <c r="B18" s="37" t="s">
        <v>5</v>
      </c>
      <c r="C18" s="37" t="s">
        <v>6</v>
      </c>
      <c r="D18" s="37" t="s">
        <v>7</v>
      </c>
      <c r="E18" s="37" t="s">
        <v>49</v>
      </c>
      <c r="F18" s="37" t="s">
        <v>50</v>
      </c>
      <c r="G18" s="53" t="s">
        <v>47</v>
      </c>
    </row>
    <row r="19" customHeight="1" spans="1:13">
      <c r="A19" s="39"/>
      <c r="B19" s="40"/>
      <c r="C19" s="40"/>
      <c r="D19" s="40"/>
      <c r="E19" s="40" t="s">
        <v>18</v>
      </c>
      <c r="F19" s="40" t="s">
        <v>18</v>
      </c>
      <c r="G19" s="54"/>
    </row>
    <row r="20" customHeight="1" spans="1:13">
      <c r="A20" s="95" t="s">
        <v>64</v>
      </c>
      <c r="B20" s="96"/>
      <c r="C20" s="96"/>
      <c r="D20" s="87">
        <f>COUNTIFS(工资明细!BM:BM,$F$1,工资明细!H:H,A20,工资明细!I:I,B20,工资明细!J:J,C20)</f>
        <v>0</v>
      </c>
      <c r="E20" s="88">
        <f>SUMIFS(工资明细!BE:BE,工资明细!BM:BM,$F$1,工资明细!H:H,A20,工资明细!I:I,B20,工资明细!J:J,C20)</f>
        <v>0</v>
      </c>
      <c r="F20" s="89">
        <f>SUMIFS(工资明细!AT:AT,工资明细!BM:BM,$F$1,工资明细!H:H,A20,工资明细!I:I,B20,工资明细!J:J,C20)</f>
        <v>0</v>
      </c>
      <c r="G20" s="92">
        <f>SUM(E20:F20)</f>
        <v>0</v>
      </c>
    </row>
    <row r="21" customHeight="1" spans="1:13">
      <c r="A21" s="95" t="s">
        <v>65</v>
      </c>
      <c r="B21" s="96"/>
      <c r="C21" s="96"/>
      <c r="D21" s="87">
        <f>COUNTIFS(工资明细!BM:BM,$F$1,工资明细!H:H,A21,工资明细!I:I,B21,工资明细!J:J,C21)</f>
        <v>0</v>
      </c>
      <c r="E21" s="88">
        <f>SUMIFS(工资明细!BE:BE,工资明细!BM:BM,$F$1,工资明细!H:H,A21,工资明细!I:I,B21,工资明细!J:J,C21)</f>
        <v>0</v>
      </c>
      <c r="F21" s="89">
        <f>SUMIFS(工资明细!AT:AT,工资明细!BM:BM,$F$1,工资明细!H:H,A21,工资明细!I:I,B21,工资明细!J:J,C21)</f>
        <v>0</v>
      </c>
      <c r="G21" s="92">
        <f t="shared" ref="G21:G28" si="2">SUM(E21:F21)</f>
        <v>0</v>
      </c>
    </row>
    <row r="22" customHeight="1" spans="1:13">
      <c r="A22" s="95" t="s">
        <v>23</v>
      </c>
      <c r="B22" s="96" t="s">
        <v>66</v>
      </c>
      <c r="C22" s="96"/>
      <c r="D22" s="87">
        <f>COUNTIFS(工资明细!BM:BM,$F$1,工资明细!H:H,A22,工资明细!I:I,B22,工资明细!J:J,C22)</f>
        <v>0</v>
      </c>
      <c r="E22" s="88">
        <f>SUMIFS(工资明细!BE:BE,工资明细!BM:BM,$F$1,工资明细!H:H,A22,工资明细!I:I,B22,工资明细!J:J,C22)</f>
        <v>0</v>
      </c>
      <c r="F22" s="89">
        <f>SUMIFS(工资明细!AT:AT,工资明细!BM:BM,$F$1,工资明细!H:H,A22,工资明细!I:I,B22,工资明细!J:J,C22)</f>
        <v>0</v>
      </c>
      <c r="G22" s="92">
        <f t="shared" si="2"/>
        <v>0</v>
      </c>
    </row>
    <row r="23" customHeight="1" spans="1:13">
      <c r="A23" s="95" t="s">
        <v>23</v>
      </c>
      <c r="B23" s="96" t="s">
        <v>24</v>
      </c>
      <c r="C23" s="96"/>
      <c r="D23" s="87">
        <f>COUNTIFS(工资明细!BM:BM,$F$1,工资明细!H:H,A23,工资明细!I:I,B23,工资明细!J:J,C23)</f>
        <v>0</v>
      </c>
      <c r="E23" s="88">
        <f>SUMIFS(工资明细!BE:BE,工资明细!BM:BM,$F$1,工资明细!H:H,A23,工资明细!I:I,B23,工资明细!J:J,C23)</f>
        <v>0</v>
      </c>
      <c r="F23" s="89">
        <f>SUMIFS(工资明细!AT:AT,工资明细!BM:BM,$F$1,工资明细!H:H,A23,工资明细!I:I,B23,工资明细!J:J,C23)</f>
        <v>0</v>
      </c>
      <c r="G23" s="92">
        <f t="shared" si="2"/>
        <v>0</v>
      </c>
    </row>
    <row r="24" customHeight="1" spans="1:13">
      <c r="A24" s="95" t="s">
        <v>23</v>
      </c>
      <c r="B24" s="96" t="s">
        <v>25</v>
      </c>
      <c r="C24" s="96" t="s">
        <v>27</v>
      </c>
      <c r="D24" s="87">
        <f>COUNTIFS(工资明细!BM:BM,$F$1,工资明细!H:H,A24,工资明细!I:I,B24,工资明细!J:J,C24)</f>
        <v>0</v>
      </c>
      <c r="E24" s="88">
        <f>SUMIFS(工资明细!BE:BE,工资明细!BM:BM,$F$1,工资明细!H:H,A24,工资明细!I:I,B24,工资明细!J:J,C24)</f>
        <v>0</v>
      </c>
      <c r="F24" s="89">
        <f>SUMIFS(工资明细!AT:AT,工资明细!BM:BM,$F$1,工资明细!H:H,A24,工资明细!I:I,B24,工资明细!J:J,C24)</f>
        <v>0</v>
      </c>
      <c r="G24" s="92">
        <f t="shared" si="2"/>
        <v>0</v>
      </c>
    </row>
    <row r="25" customHeight="1" spans="1:13">
      <c r="A25" s="95" t="s">
        <v>29</v>
      </c>
      <c r="B25" s="96" t="s">
        <v>61</v>
      </c>
      <c r="C25" s="96" t="s">
        <v>67</v>
      </c>
      <c r="D25" s="87">
        <f>COUNTIFS(工资明细!BM:BM,$F$1,工资明细!H:H,A25,工资明细!I:I,B25,工资明细!J:J,C25)</f>
        <v>0</v>
      </c>
      <c r="E25" s="88">
        <f>SUMIFS(工资明细!BE:BE,工资明细!BM:BM,$F$1,工资明细!H:H,A25,工资明细!I:I,B25,工资明细!J:J,C25)</f>
        <v>0</v>
      </c>
      <c r="F25" s="89">
        <f>SUMIFS(工资明细!AT:AT,工资明细!BM:BM,$F$1,工资明细!H:H,A25,工资明细!I:I,B25,工资明细!J:J,C25)</f>
        <v>0</v>
      </c>
      <c r="G25" s="92">
        <f t="shared" si="2"/>
        <v>0</v>
      </c>
    </row>
    <row r="26" customHeight="1" spans="1:13">
      <c r="A26" s="95" t="s">
        <v>29</v>
      </c>
      <c r="B26" s="96" t="s">
        <v>32</v>
      </c>
      <c r="C26" s="96" t="s">
        <v>68</v>
      </c>
      <c r="D26" s="87">
        <f>COUNTIFS(工资明细!BM:BM,$F$1,工资明细!H:H,A26,工资明细!I:I,B26,工资明细!J:J,C26)</f>
        <v>0</v>
      </c>
      <c r="E26" s="88">
        <f>SUMIFS(工资明细!BE:BE,工资明细!BM:BM,$F$1,工资明细!H:H,A26,工资明细!I:I,B26,工资明细!J:J,C26)</f>
        <v>0</v>
      </c>
      <c r="F26" s="89">
        <f>SUMIFS(工资明细!AT:AT,工资明细!BM:BM,$F$1,工资明细!H:H,A26,工资明细!I:I,B26,工资明细!J:J,C26)</f>
        <v>0</v>
      </c>
      <c r="G26" s="92">
        <f t="shared" si="2"/>
        <v>0</v>
      </c>
    </row>
    <row r="27" customHeight="1" spans="1:13">
      <c r="A27" s="95" t="s">
        <v>29</v>
      </c>
      <c r="B27" s="96" t="s">
        <v>32</v>
      </c>
      <c r="C27" s="96">
        <v>0</v>
      </c>
      <c r="D27" s="87">
        <f>COUNTIFS(工资明细!BM:BM,$F$1,工资明细!H:H,A27,工资明细!I:I,B27,工资明细!J:J,C27)</f>
        <v>0</v>
      </c>
      <c r="E27" s="88">
        <f>SUMIFS(工资明细!BE:BE,工资明细!BM:BM,$F$1,工资明细!H:H,A27,工资明细!I:I,B27,工资明细!J:J,C27)</f>
        <v>0</v>
      </c>
      <c r="F27" s="89">
        <f>SUMIFS(工资明细!AT:AT,工资明细!BM:BM,$F$1,工资明细!H:H,A27,工资明细!I:I,B27,工资明细!J:J,C27)</f>
        <v>0</v>
      </c>
      <c r="G27" s="92">
        <f t="shared" si="2"/>
        <v>0</v>
      </c>
    </row>
    <row r="28" customHeight="1" spans="1:13">
      <c r="A28" s="95" t="s">
        <v>34</v>
      </c>
      <c r="B28" s="96" t="s">
        <v>35</v>
      </c>
      <c r="C28" s="96" t="s">
        <v>37</v>
      </c>
      <c r="D28" s="87">
        <f>COUNTIFS(工资明细!BM:BM,$F$1,工资明细!H:H,A28,工资明细!I:I,B28,工资明细!J:J,C28)</f>
        <v>0</v>
      </c>
      <c r="E28" s="88">
        <f>SUMIFS(工资明细!BE:BE,工资明细!BM:BM,$F$1,工资明细!H:H,A28,工资明细!I:I,B28,工资明细!J:J,C28)</f>
        <v>0</v>
      </c>
      <c r="F28" s="89">
        <f>SUMIFS(工资明细!AT:AT,工资明细!BM:BM,$F$1,工资明细!H:H,A28,工资明细!I:I,B28,工资明细!J:J,C28)</f>
        <v>0</v>
      </c>
      <c r="G28" s="92">
        <f t="shared" si="2"/>
        <v>0</v>
      </c>
    </row>
    <row r="29" s="28" customFormat="1" customHeight="1" spans="1:13">
      <c r="A29" s="42" t="s">
        <v>47</v>
      </c>
      <c r="B29" s="43"/>
      <c r="C29" s="43"/>
      <c r="D29" s="48">
        <f>SUM(D20:D28)</f>
        <v>0</v>
      </c>
      <c r="E29" s="49">
        <f>SUM(E20:E28)</f>
        <v>0</v>
      </c>
      <c r="F29" s="49">
        <f>SUM(F20:F28)</f>
        <v>0</v>
      </c>
      <c r="G29" s="49">
        <f>SUM(G20:G28)</f>
        <v>0</v>
      </c>
    </row>
    <row r="30" ht="14.25" customHeight="1"/>
    <row r="31" s="28" customFormat="1" ht="30" customHeight="1" spans="1:13">
      <c r="A31" s="80" t="s">
        <v>51</v>
      </c>
      <c r="B31" s="80"/>
      <c r="C31" s="80"/>
      <c r="D31" s="80"/>
      <c r="E31" s="80"/>
      <c r="F31" s="80"/>
      <c r="G31" s="80"/>
    </row>
    <row r="32" s="28" customFormat="1" customHeight="1" spans="1:13">
      <c r="A32" s="36" t="s">
        <v>4</v>
      </c>
      <c r="B32" s="37" t="s">
        <v>5</v>
      </c>
      <c r="C32" s="37" t="s">
        <v>6</v>
      </c>
      <c r="D32" s="37" t="s">
        <v>7</v>
      </c>
      <c r="E32" s="37" t="s">
        <v>52</v>
      </c>
      <c r="F32" s="37" t="s">
        <v>53</v>
      </c>
      <c r="G32" s="37" t="s">
        <v>54</v>
      </c>
      <c r="H32" s="37" t="s">
        <v>55</v>
      </c>
      <c r="I32" s="37" t="s">
        <v>56</v>
      </c>
      <c r="J32" s="37" t="s">
        <v>57</v>
      </c>
      <c r="K32" s="37" t="s">
        <v>58</v>
      </c>
      <c r="L32" s="38" t="s">
        <v>47</v>
      </c>
    </row>
    <row r="33" s="28" customFormat="1" customHeight="1" spans="1:14">
      <c r="A33" s="39"/>
      <c r="B33" s="40"/>
      <c r="C33" s="40"/>
      <c r="D33" s="40"/>
      <c r="E33" s="40" t="s">
        <v>18</v>
      </c>
      <c r="F33" s="40" t="s">
        <v>18</v>
      </c>
      <c r="G33" s="40" t="s">
        <v>18</v>
      </c>
      <c r="H33" s="40" t="s">
        <v>18</v>
      </c>
      <c r="I33" s="40" t="s">
        <v>18</v>
      </c>
      <c r="J33" s="40" t="s">
        <v>18</v>
      </c>
      <c r="K33" s="40" t="s">
        <v>18</v>
      </c>
      <c r="L33" s="41"/>
    </row>
    <row r="34" s="28" customFormat="1" customHeight="1" spans="1:14">
      <c r="A34" s="95" t="s">
        <v>64</v>
      </c>
      <c r="B34" s="96"/>
      <c r="C34" s="96"/>
      <c r="D34" s="87">
        <f>COUNTIFS(工资明细!BM:BM,$F$1,工资明细!H:H,A34,工资明细!I:I,B34,工资明细!J:J,C34)</f>
        <v>0</v>
      </c>
      <c r="E34" s="88">
        <f>SUMIFS(工资明细!AY:AY,工资明细!BM:BM,$F$1,工资明细!H:H,A34,工资明细!I:I,B34,工资明细!J:J,C34)</f>
        <v>0</v>
      </c>
      <c r="F34" s="89">
        <f>SUMIFS(工资明细!AZ:AZ,工资明细!BM:BM,$F$1,工资明细!H:H,A34,工资明细!I:I,B34,工资明细!J:J,C34)</f>
        <v>0</v>
      </c>
      <c r="G34" s="89">
        <f>SUMIFS(工资明细!BA:BA,工资明细!BM:BM,$F$1,工资明细!H:H,A34,工资明细!I:I,B34,工资明细!J:J,C34)</f>
        <v>0</v>
      </c>
      <c r="H34" s="89">
        <f>SUMIFS(工资明细!BB:BB,工资明细!BM:BM,$F$1,工资明细!H:H,A34,工资明细!I:I,B34,工资明细!J:J,C34)</f>
        <v>0</v>
      </c>
      <c r="I34" s="89">
        <f>SUMIFS(工资明细!BC:BC,工资明细!BM:BM,$F$1,工资明细!H:H,A34,工资明细!I:I,B34,工资明细!J:J,C34)</f>
        <v>0</v>
      </c>
      <c r="J34" s="93">
        <f>SUM(E34:I34)</f>
        <v>0</v>
      </c>
      <c r="K34" s="94">
        <f>SUMIFS(工资明细!AS:AS,工资明细!BM:BM,$F$1,工资明细!H:H,A34,工资明细!I:I,B34,工资明细!J:J,C34)</f>
        <v>0</v>
      </c>
      <c r="L34" s="92">
        <f>SUM(J34:K34)</f>
        <v>0</v>
      </c>
    </row>
    <row r="35" s="28" customFormat="1" customHeight="1" spans="1:14">
      <c r="A35" s="95" t="s">
        <v>65</v>
      </c>
      <c r="B35" s="96"/>
      <c r="C35" s="96"/>
      <c r="D35" s="87">
        <f>COUNTIFS(工资明细!BM:BM,$F$1,工资明细!H:H,A35,工资明细!I:I,B35,工资明细!J:J,C35)</f>
        <v>0</v>
      </c>
      <c r="E35" s="88">
        <f>SUMIFS(工资明细!AY:AY,工资明细!BM:BM,$F$1,工资明细!H:H,A35,工资明细!I:I,B35,工资明细!J:J,C35)</f>
        <v>0</v>
      </c>
      <c r="F35" s="89">
        <f>SUMIFS(工资明细!AZ:AZ,工资明细!BM:BM,$F$1,工资明细!H:H,A35,工资明细!I:I,B35,工资明细!J:J,C35)</f>
        <v>0</v>
      </c>
      <c r="G35" s="89">
        <f>SUMIFS(工资明细!BA:BA,工资明细!BM:BM,$F$1,工资明细!H:H,A35,工资明细!I:I,B35,工资明细!J:J,C35)</f>
        <v>0</v>
      </c>
      <c r="H35" s="89">
        <f>SUMIFS(工资明细!BB:BB,工资明细!BM:BM,$F$1,工资明细!H:H,A35,工资明细!I:I,B35,工资明细!J:J,C35)</f>
        <v>0</v>
      </c>
      <c r="I35" s="89">
        <f>SUMIFS(工资明细!BC:BC,工资明细!BM:BM,$F$1,工资明细!H:H,A35,工资明细!I:I,B35,工资明细!J:J,C35)</f>
        <v>0</v>
      </c>
      <c r="J35" s="93">
        <f t="shared" ref="J35:J42" si="3">SUM(E35:I35)</f>
        <v>0</v>
      </c>
      <c r="K35" s="94">
        <f>SUMIFS(工资明细!AS:AS,工资明细!BM:BM,$F$1,工资明细!H:H,A35,工资明细!I:I,B35,工资明细!J:J,C35)</f>
        <v>0</v>
      </c>
      <c r="L35" s="92">
        <f t="shared" ref="L35:L42" si="4">SUM(J35:K35)</f>
        <v>0</v>
      </c>
    </row>
    <row r="36" s="28" customFormat="1" customHeight="1" spans="1:14">
      <c r="A36" s="95" t="s">
        <v>23</v>
      </c>
      <c r="B36" s="96" t="s">
        <v>66</v>
      </c>
      <c r="C36" s="96"/>
      <c r="D36" s="87">
        <f>COUNTIFS(工资明细!BM:BM,$F$1,工资明细!H:H,A36,工资明细!I:I,B36,工资明细!J:J,C36)</f>
        <v>0</v>
      </c>
      <c r="E36" s="88">
        <f>SUMIFS(工资明细!AY:AY,工资明细!BM:BM,$F$1,工资明细!H:H,A36,工资明细!I:I,B36,工资明细!J:J,C36)</f>
        <v>0</v>
      </c>
      <c r="F36" s="89">
        <f>SUMIFS(工资明细!AZ:AZ,工资明细!BM:BM,$F$1,工资明细!H:H,A36,工资明细!I:I,B36,工资明细!J:J,C36)</f>
        <v>0</v>
      </c>
      <c r="G36" s="89">
        <f>SUMIFS(工资明细!BA:BA,工资明细!BM:BM,$F$1,工资明细!H:H,A36,工资明细!I:I,B36,工资明细!J:J,C36)</f>
        <v>0</v>
      </c>
      <c r="H36" s="89">
        <f>SUMIFS(工资明细!BB:BB,工资明细!BM:BM,$F$1,工资明细!H:H,A36,工资明细!I:I,B36,工资明细!J:J,C36)</f>
        <v>0</v>
      </c>
      <c r="I36" s="89">
        <f>SUMIFS(工资明细!BC:BC,工资明细!BM:BM,$F$1,工资明细!H:H,A36,工资明细!I:I,B36,工资明细!J:J,C36)</f>
        <v>0</v>
      </c>
      <c r="J36" s="93">
        <f t="shared" si="3"/>
        <v>0</v>
      </c>
      <c r="K36" s="94">
        <f>SUMIFS(工资明细!AS:AS,工资明细!BM:BM,$F$1,工资明细!H:H,A36,工资明细!I:I,B36,工资明细!J:J,C36)</f>
        <v>0</v>
      </c>
      <c r="L36" s="92">
        <f t="shared" si="4"/>
        <v>0</v>
      </c>
    </row>
    <row r="37" s="28" customFormat="1" customHeight="1" spans="1:14">
      <c r="A37" s="95" t="s">
        <v>23</v>
      </c>
      <c r="B37" s="96" t="s">
        <v>24</v>
      </c>
      <c r="C37" s="96"/>
      <c r="D37" s="87">
        <f>COUNTIFS(工资明细!BM:BM,$F$1,工资明细!H:H,A37,工资明细!I:I,B37,工资明细!J:J,C37)</f>
        <v>0</v>
      </c>
      <c r="E37" s="88">
        <f>SUMIFS(工资明细!AY:AY,工资明细!BM:BM,$F$1,工资明细!H:H,A37,工资明细!I:I,B37,工资明细!J:J,C37)</f>
        <v>0</v>
      </c>
      <c r="F37" s="89">
        <f>SUMIFS(工资明细!AZ:AZ,工资明细!BM:BM,$F$1,工资明细!H:H,A37,工资明细!I:I,B37,工资明细!J:J,C37)</f>
        <v>0</v>
      </c>
      <c r="G37" s="89">
        <f>SUMIFS(工资明细!BA:BA,工资明细!BM:BM,$F$1,工资明细!H:H,A37,工资明细!I:I,B37,工资明细!J:J,C37)</f>
        <v>0</v>
      </c>
      <c r="H37" s="89">
        <f>SUMIFS(工资明细!BB:BB,工资明细!BM:BM,$F$1,工资明细!H:H,A37,工资明细!I:I,B37,工资明细!J:J,C37)</f>
        <v>0</v>
      </c>
      <c r="I37" s="89">
        <f>SUMIFS(工资明细!BC:BC,工资明细!BM:BM,$F$1,工资明细!H:H,A37,工资明细!I:I,B37,工资明细!J:J,C37)</f>
        <v>0</v>
      </c>
      <c r="J37" s="93">
        <f t="shared" si="3"/>
        <v>0</v>
      </c>
      <c r="K37" s="94">
        <f>SUMIFS(工资明细!AS:AS,工资明细!BM:BM,$F$1,工资明细!H:H,A37,工资明细!I:I,B37,工资明细!J:J,C37)</f>
        <v>0</v>
      </c>
      <c r="L37" s="92">
        <f t="shared" si="4"/>
        <v>0</v>
      </c>
    </row>
    <row r="38" s="28" customFormat="1" ht="17.1" customHeight="1" spans="1:14">
      <c r="A38" s="95" t="s">
        <v>23</v>
      </c>
      <c r="B38" s="96" t="s">
        <v>25</v>
      </c>
      <c r="C38" s="96" t="s">
        <v>27</v>
      </c>
      <c r="D38" s="87">
        <f>COUNTIFS(工资明细!BM:BM,$F$1,工资明细!H:H,A38,工资明细!I:I,B38,工资明细!J:J,C38)</f>
        <v>0</v>
      </c>
      <c r="E38" s="88">
        <f>SUMIFS(工资明细!AY:AY,工资明细!BM:BM,$F$1,工资明细!H:H,A38,工资明细!I:I,B38,工资明细!J:J,C38)</f>
        <v>0</v>
      </c>
      <c r="F38" s="89">
        <f>SUMIFS(工资明细!AZ:AZ,工资明细!BM:BM,$F$1,工资明细!H:H,A38,工资明细!I:I,B38,工资明细!J:J,C38)</f>
        <v>0</v>
      </c>
      <c r="G38" s="89">
        <f>SUMIFS(工资明细!BA:BA,工资明细!BM:BM,$F$1,工资明细!H:H,A38,工资明细!I:I,B38,工资明细!J:J,C38)</f>
        <v>0</v>
      </c>
      <c r="H38" s="89">
        <f>SUMIFS(工资明细!BB:BB,工资明细!BM:BM,$F$1,工资明细!H:H,A38,工资明细!I:I,B38,工资明细!J:J,C38)</f>
        <v>0</v>
      </c>
      <c r="I38" s="89">
        <f>SUMIFS(工资明细!BC:BC,工资明细!BM:BM,$F$1,工资明细!H:H,A38,工资明细!I:I,B38,工资明细!J:J,C38)</f>
        <v>0</v>
      </c>
      <c r="J38" s="93">
        <f t="shared" si="3"/>
        <v>0</v>
      </c>
      <c r="K38" s="94">
        <f>SUMIFS(工资明细!AS:AS,工资明细!BM:BM,$F$1,工资明细!H:H,A38,工资明细!I:I,B38,工资明细!J:J,C38)</f>
        <v>0</v>
      </c>
      <c r="L38" s="92">
        <f t="shared" si="4"/>
        <v>0</v>
      </c>
    </row>
    <row r="39" s="28" customFormat="1" customHeight="1" spans="1:14">
      <c r="A39" s="95" t="s">
        <v>29</v>
      </c>
      <c r="B39" s="96" t="s">
        <v>61</v>
      </c>
      <c r="C39" s="96" t="s">
        <v>67</v>
      </c>
      <c r="D39" s="87">
        <f>COUNTIFS(工资明细!BM:BM,$F$1,工资明细!H:H,A39,工资明细!I:I,B39,工资明细!J:J,C39)</f>
        <v>0</v>
      </c>
      <c r="E39" s="88">
        <f>SUMIFS(工资明细!AY:AY,工资明细!BM:BM,$F$1,工资明细!H:H,A39,工资明细!I:I,B39,工资明细!J:J,C39)</f>
        <v>0</v>
      </c>
      <c r="F39" s="89">
        <f>SUMIFS(工资明细!AZ:AZ,工资明细!BM:BM,$F$1,工资明细!H:H,A39,工资明细!I:I,B39,工资明细!J:J,C39)</f>
        <v>0</v>
      </c>
      <c r="G39" s="89">
        <f>SUMIFS(工资明细!BA:BA,工资明细!BM:BM,$F$1,工资明细!H:H,A39,工资明细!I:I,B39,工资明细!J:J,C39)</f>
        <v>0</v>
      </c>
      <c r="H39" s="89">
        <f>SUMIFS(工资明细!BB:BB,工资明细!BM:BM,$F$1,工资明细!H:H,A39,工资明细!I:I,B39,工资明细!J:J,C39)</f>
        <v>0</v>
      </c>
      <c r="I39" s="89">
        <f>SUMIFS(工资明细!BC:BC,工资明细!BM:BM,$F$1,工资明细!H:H,A39,工资明细!I:I,B39,工资明细!J:J,C39)</f>
        <v>0</v>
      </c>
      <c r="J39" s="93">
        <f t="shared" si="3"/>
        <v>0</v>
      </c>
      <c r="K39" s="94">
        <f>SUMIFS(工资明细!AS:AS,工资明细!BM:BM,$F$1,工资明细!H:H,A39,工资明细!I:I,B39,工资明细!J:J,C39)</f>
        <v>0</v>
      </c>
      <c r="L39" s="92">
        <f t="shared" si="4"/>
        <v>0</v>
      </c>
    </row>
    <row r="40" s="28" customFormat="1" customHeight="1" spans="1:14">
      <c r="A40" s="95" t="s">
        <v>29</v>
      </c>
      <c r="B40" s="96" t="s">
        <v>32</v>
      </c>
      <c r="C40" s="96" t="s">
        <v>68</v>
      </c>
      <c r="D40" s="87">
        <f>COUNTIFS(工资明细!BM:BM,$F$1,工资明细!H:H,A40,工资明细!I:I,B40,工资明细!J:J,C40)</f>
        <v>0</v>
      </c>
      <c r="E40" s="88">
        <f>SUMIFS(工资明细!AY:AY,工资明细!BM:BM,$F$1,工资明细!H:H,A40,工资明细!I:I,B40,工资明细!J:J,C40)</f>
        <v>0</v>
      </c>
      <c r="F40" s="89">
        <f>SUMIFS(工资明细!AZ:AZ,工资明细!BM:BM,$F$1,工资明细!H:H,A40,工资明细!I:I,B40,工资明细!J:J,C40)</f>
        <v>0</v>
      </c>
      <c r="G40" s="89">
        <f>SUMIFS(工资明细!BA:BA,工资明细!BM:BM,$F$1,工资明细!H:H,A40,工资明细!I:I,B40,工资明细!J:J,C40)</f>
        <v>0</v>
      </c>
      <c r="H40" s="89">
        <f>SUMIFS(工资明细!BB:BB,工资明细!BM:BM,$F$1,工资明细!H:H,A40,工资明细!I:I,B40,工资明细!J:J,C40)</f>
        <v>0</v>
      </c>
      <c r="I40" s="89">
        <f>SUMIFS(工资明细!BC:BC,工资明细!BM:BM,$F$1,工资明细!H:H,A40,工资明细!I:I,B40,工资明细!J:J,C40)</f>
        <v>0</v>
      </c>
      <c r="J40" s="93">
        <f t="shared" si="3"/>
        <v>0</v>
      </c>
      <c r="K40" s="94">
        <f>SUMIFS(工资明细!AS:AS,工资明细!BM:BM,$F$1,工资明细!H:H,A40,工资明细!I:I,B40,工资明细!J:J,C40)</f>
        <v>0</v>
      </c>
      <c r="L40" s="92">
        <f t="shared" si="4"/>
        <v>0</v>
      </c>
    </row>
    <row r="41" s="28" customFormat="1" customHeight="1" spans="1:14">
      <c r="A41" s="95" t="s">
        <v>29</v>
      </c>
      <c r="B41" s="96" t="s">
        <v>32</v>
      </c>
      <c r="C41" s="96">
        <v>0</v>
      </c>
      <c r="D41" s="87">
        <f>COUNTIFS(工资明细!BM:BM,$F$1,工资明细!H:H,A41,工资明细!I:I,B41,工资明细!J:J,C41)</f>
        <v>0</v>
      </c>
      <c r="E41" s="88">
        <f>SUMIFS(工资明细!AY:AY,工资明细!BM:BM,$F$1,工资明细!H:H,A41,工资明细!I:I,B41,工资明细!J:J,C41)</f>
        <v>0</v>
      </c>
      <c r="F41" s="89">
        <f>SUMIFS(工资明细!AZ:AZ,工资明细!BM:BM,$F$1,工资明细!H:H,A41,工资明细!I:I,B41,工资明细!J:J,C41)</f>
        <v>0</v>
      </c>
      <c r="G41" s="89">
        <f>SUMIFS(工资明细!BA:BA,工资明细!BM:BM,$F$1,工资明细!H:H,A41,工资明细!I:I,B41,工资明细!J:J,C41)</f>
        <v>0</v>
      </c>
      <c r="H41" s="89">
        <f>SUMIFS(工资明细!BB:BB,工资明细!BM:BM,$F$1,工资明细!H:H,A41,工资明细!I:I,B41,工资明细!J:J,C41)</f>
        <v>0</v>
      </c>
      <c r="I41" s="89">
        <f>SUMIFS(工资明细!BC:BC,工资明细!BM:BM,$F$1,工资明细!H:H,A41,工资明细!I:I,B41,工资明细!J:J,C41)</f>
        <v>0</v>
      </c>
      <c r="J41" s="93">
        <f t="shared" si="3"/>
        <v>0</v>
      </c>
      <c r="K41" s="94">
        <f>SUMIFS(工资明细!AS:AS,工资明细!BM:BM,$F$1,工资明细!H:H,A41,工资明细!I:I,B41,工资明细!J:J,C41)</f>
        <v>0</v>
      </c>
      <c r="L41" s="92">
        <f t="shared" si="4"/>
        <v>0</v>
      </c>
    </row>
    <row r="42" s="28" customFormat="1" customHeight="1" spans="1:14">
      <c r="A42" s="95" t="s">
        <v>34</v>
      </c>
      <c r="B42" s="96" t="s">
        <v>35</v>
      </c>
      <c r="C42" s="96" t="s">
        <v>37</v>
      </c>
      <c r="D42" s="87">
        <f>COUNTIFS(工资明细!BM:BM,$F$1,工资明细!H:H,A42,工资明细!I:I,B42,工资明细!J:J,C42)</f>
        <v>0</v>
      </c>
      <c r="E42" s="88">
        <f>SUMIFS(工资明细!AY:AY,工资明细!BM:BM,$F$1,工资明细!H:H,A42,工资明细!I:I,B42,工资明细!J:J,C42)</f>
        <v>0</v>
      </c>
      <c r="F42" s="89">
        <f>SUMIFS(工资明细!AZ:AZ,工资明细!BM:BM,$F$1,工资明细!H:H,A42,工资明细!I:I,B42,工资明细!J:J,C42)</f>
        <v>0</v>
      </c>
      <c r="G42" s="89">
        <f>SUMIFS(工资明细!BA:BA,工资明细!BM:BM,$F$1,工资明细!H:H,A42,工资明细!I:I,B42,工资明细!J:J,C42)</f>
        <v>0</v>
      </c>
      <c r="H42" s="89">
        <f>SUMIFS(工资明细!BB:BB,工资明细!BM:BM,$F$1,工资明细!H:H,A42,工资明细!I:I,B42,工资明细!J:J,C42)</f>
        <v>0</v>
      </c>
      <c r="I42" s="89">
        <f>SUMIFS(工资明细!BC:BC,工资明细!BM:BM,$F$1,工资明细!H:H,A42,工资明细!I:I,B42,工资明细!J:J,C42)</f>
        <v>0</v>
      </c>
      <c r="J42" s="93">
        <f t="shared" si="3"/>
        <v>0</v>
      </c>
      <c r="K42" s="94">
        <f>SUMIFS(工资明细!AS:AS,工资明细!BM:BM,$F$1,工资明细!H:H,A42,工资明细!I:I,B42,工资明细!J:J,C42)</f>
        <v>0</v>
      </c>
      <c r="L42" s="92">
        <f t="shared" si="4"/>
        <v>0</v>
      </c>
    </row>
    <row r="43" s="28" customFormat="1" customHeight="1" spans="1:14">
      <c r="A43" s="42" t="s">
        <v>47</v>
      </c>
      <c r="B43" s="43"/>
      <c r="C43" s="43"/>
      <c r="D43" s="48">
        <f t="shared" ref="D43:L43" si="5">SUM(D34:D42)</f>
        <v>0</v>
      </c>
      <c r="E43" s="49">
        <f t="shared" si="5"/>
        <v>0</v>
      </c>
      <c r="F43" s="49">
        <f t="shared" si="5"/>
        <v>0</v>
      </c>
      <c r="G43" s="49">
        <f t="shared" si="5"/>
        <v>0</v>
      </c>
      <c r="H43" s="49">
        <f t="shared" si="5"/>
        <v>0</v>
      </c>
      <c r="I43" s="49">
        <f t="shared" si="5"/>
        <v>0</v>
      </c>
      <c r="J43" s="49">
        <f t="shared" si="5"/>
        <v>0</v>
      </c>
      <c r="K43" s="49">
        <f t="shared" si="5"/>
        <v>0</v>
      </c>
      <c r="L43" s="49">
        <f t="shared" si="5"/>
        <v>0</v>
      </c>
    </row>
    <row r="44" customHeight="1" spans="1:14">
      <c r="J44" s="91"/>
      <c r="K44" s="91"/>
      <c r="L44" s="91"/>
      <c r="N44" s="91"/>
    </row>
    <row r="46" customHeight="1" spans="1:14">
      <c r="L46" s="91"/>
    </row>
    <row r="47" customHeight="1" spans="1:14">
      <c r="L47" s="91"/>
      <c r="N47" s="91"/>
    </row>
    <row r="48" customHeight="1" spans="1:14">
      <c r="L48" s="91"/>
    </row>
    <row r="49" customHeight="1" spans="12:12">
      <c r="L49" s="91"/>
    </row>
  </sheetData>
  <protectedRanges>
    <protectedRange sqref="M34:M42" name="区域1_4_1"/>
    <protectedRange sqref="H20:H28 E21:E28" name="区域1_4_1_2"/>
    <protectedRange sqref="F7:I15" name="区域1_4_1_3"/>
    <protectedRange sqref="D15 E7:E15 D35:I42" name="区域1_4_1_3_1"/>
    <protectedRange sqref="D6" name="区域1_4_1_3_1_1_1"/>
  </protectedRanges>
  <mergeCells count="20">
    <mergeCell ref="A3:K3"/>
    <mergeCell ref="A15:C15"/>
    <mergeCell ref="A17:G17"/>
    <mergeCell ref="A29:C29"/>
    <mergeCell ref="A31:G31"/>
    <mergeCell ref="A43:C43"/>
    <mergeCell ref="A4:A5"/>
    <mergeCell ref="A18:A19"/>
    <mergeCell ref="A32:A33"/>
    <mergeCell ref="B4:B5"/>
    <mergeCell ref="B18:B19"/>
    <mergeCell ref="B32:B33"/>
    <mergeCell ref="C4:C5"/>
    <mergeCell ref="C18:C19"/>
    <mergeCell ref="C32:C33"/>
    <mergeCell ref="D4:D5"/>
    <mergeCell ref="D18:D19"/>
    <mergeCell ref="D32:D33"/>
    <mergeCell ref="G18:G19"/>
    <mergeCell ref="L32:L33"/>
  </mergeCells>
  <pageMargins left="0.699305555555556" right="0.699305555555556" top="0.75" bottom="0.75" header="0.3" footer="0.3"/>
  <pageSetup paperSize="9" scale="63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view="pageBreakPreview" zoomScaleNormal="100" workbookViewId="0">
      <selection activeCell="B2" sqref="B2"/>
    </sheetView>
  </sheetViews>
  <sheetFormatPr defaultColWidth="11.8230088495575" defaultRowHeight="18" customHeight="1"/>
  <cols>
    <col min="1" max="1" width="10.3716814159292" style="28" customWidth="1"/>
    <col min="2" max="2" width="9.6283185840708" style="28" customWidth="1"/>
    <col min="3" max="3" width="8.75221238938053" style="28" customWidth="1"/>
    <col min="4" max="4" width="3.87610619469027" style="28" customWidth="1"/>
    <col min="5" max="5" width="9.3716814159292" style="28" customWidth="1"/>
    <col min="6" max="8" width="7.87610619469027" style="28" customWidth="1"/>
    <col min="9" max="9" width="10.3716814159292" style="28" customWidth="1"/>
    <col min="10" max="12" width="9.3716814159292" style="28" customWidth="1"/>
    <col min="13" max="13" width="7.12389380530973" style="28" customWidth="1"/>
    <col min="14" max="14" width="9.3716814159292" style="28" customWidth="1"/>
    <col min="15" max="16384" width="11.8230088495575" style="28" customWidth="1"/>
  </cols>
  <sheetData>
    <row r="1" s="28" customFormat="1" ht="30" customHeight="1" spans="1:14">
      <c r="A1" s="30" t="s">
        <v>0</v>
      </c>
      <c r="B1" s="31">
        <f>北分人力成本!B1</f>
        <v>46204</v>
      </c>
      <c r="C1" s="32"/>
      <c r="E1" s="33" t="s">
        <v>1</v>
      </c>
      <c r="F1" s="34" t="s">
        <v>69</v>
      </c>
      <c r="G1" s="34"/>
      <c r="H1" s="34"/>
      <c r="I1" s="34"/>
    </row>
    <row r="2" s="28" customFormat="1" ht="17.25" customHeight="1"/>
    <row r="3" s="28" customFormat="1" ht="30" customHeight="1" spans="1:14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s="28" customFormat="1" customHeight="1" spans="1:14">
      <c r="A6" s="85" t="s">
        <v>23</v>
      </c>
      <c r="B6" s="86" t="s">
        <v>25</v>
      </c>
      <c r="C6" s="86" t="s">
        <v>70</v>
      </c>
      <c r="D6" s="87">
        <f>COUNTIFS(工资明细!BM:BM,$F$1,工资明细!H:H,A6,工资明细!I:I,B6,工资明细!J:J,C6)</f>
        <v>0</v>
      </c>
      <c r="E6" s="88">
        <f>SUMIFS(工资明细!AO:AO,工资明细!BM:BM,$F$1,工资明细!H:H,A6,工资明细!I:I,B6,工资明细!J:J,C6)</f>
        <v>0</v>
      </c>
      <c r="F6" s="88">
        <f>SUMIFS(工资明细!AP:AP,工资明细!BM:BM,$F$1,工资明细!H:H,A6,工资明细!I:I,B6,工资明细!J:J,C6)</f>
        <v>0</v>
      </c>
      <c r="G6" s="88">
        <f>SUMIFS(工资明细!AQ:AQ,工资明细!BM:BM,$F$1,工资明细!H:H,A6,工资明细!I:I,B6,工资明细!J:J,C6)</f>
        <v>0</v>
      </c>
      <c r="H6" s="88">
        <f>SUMIFS(工资明细!AR:AR,工资明细!BM:BM,$F$1,工资明细!H:H,A6,工资明细!I:I,B6,工资明细!J:J,C6)</f>
        <v>0</v>
      </c>
      <c r="I6" s="88">
        <f>F6+G6+H6</f>
        <v>0</v>
      </c>
      <c r="J6" s="88">
        <f>SUMIFS(工资明细!AT:AT,工资明细!BM:BM,$F$1,工资明细!H:H,A6,工资明细!I:I,B6,工资明细!J:J,C6)</f>
        <v>0</v>
      </c>
      <c r="K6" s="88">
        <f>SUMIFS(工资明细!AU:AU,工资明细!BM:BM,$F$1,工资明细!H:H,A6,工资明细!I:I,B6,工资明细!J:J,C6)</f>
        <v>0</v>
      </c>
      <c r="L6" s="88">
        <f>SUMIFS(工资明细!AV:AV,工资明细!BM:BM,$F$1,工资明细!H:H,A6,工资明细!I:I,B6,工资明细!J:J,C6)</f>
        <v>0</v>
      </c>
      <c r="M6" s="89">
        <f>SUMIFS(工资明细!AW:AW,工资明细!BM:BM,$F$1,工资明细!H:H,A6,工资明细!I:I,B6,工资明细!J:J,C6)</f>
        <v>0</v>
      </c>
      <c r="N6" s="90">
        <f>SUMIFS(工资明细!AX:AX,工资明细!BM:BM,$F$1,工资明细!H:H,A6,工资明细!I:I,B6,工资明细!J:J,C6)</f>
        <v>0</v>
      </c>
    </row>
    <row r="7" s="28" customFormat="1" customHeight="1" spans="1:14">
      <c r="A7" s="85" t="s">
        <v>29</v>
      </c>
      <c r="B7" s="86" t="s">
        <v>32</v>
      </c>
      <c r="C7" s="86" t="s">
        <v>71</v>
      </c>
      <c r="D7" s="87">
        <f>COUNTIFS(工资明细!BM:BM,$F$1,工资明细!H:H,A7,工资明细!I:I,B7,工资明细!J:J,C7)</f>
        <v>0</v>
      </c>
      <c r="E7" s="88">
        <f>SUMIFS(工资明细!AO:AO,工资明细!BM:BM,$F$1,工资明细!H:H,A7,工资明细!I:I,B7,工资明细!J:J,C7)</f>
        <v>0</v>
      </c>
      <c r="F7" s="88">
        <f>SUMIFS(工资明细!AP:AP,工资明细!BM:BM,$F$1,工资明细!H:H,A7,工资明细!I:I,B7,工资明细!J:J,C7)</f>
        <v>0</v>
      </c>
      <c r="G7" s="88">
        <f>SUMIFS(工资明细!AQ:AQ,工资明细!BM:BM,$F$1,工资明细!H:H,A7,工资明细!I:I,B7,工资明细!J:J,C7)</f>
        <v>0</v>
      </c>
      <c r="H7" s="88">
        <f>SUMIFS(工资明细!AR:AR,工资明细!BM:BM,$F$1,工资明细!H:H,A7,工资明细!I:I,B7,工资明细!J:J,C7)</f>
        <v>0</v>
      </c>
      <c r="I7" s="88">
        <f>F7+G7+H7</f>
        <v>0</v>
      </c>
      <c r="J7" s="88">
        <f>SUMIFS(工资明细!AT:AT,工资明细!BM:BM,$F$1,工资明细!H:H,A7,工资明细!I:I,B7,工资明细!J:J,C7)</f>
        <v>0</v>
      </c>
      <c r="K7" s="88">
        <f>SUMIFS(工资明细!AU:AU,工资明细!BM:BM,$F$1,工资明细!H:H,A7,工资明细!I:I,B7,工资明细!J:J,C7)</f>
        <v>0</v>
      </c>
      <c r="L7" s="88">
        <f>SUMIFS(工资明细!AV:AV,工资明细!BM:BM,$F$1,工资明细!H:H,A7,工资明细!I:I,B7,工资明细!J:J,C7)</f>
        <v>0</v>
      </c>
      <c r="M7" s="89">
        <f>SUMIFS(工资明细!AW:AW,工资明细!BM:BM,$F$1,工资明细!H:H,A7,工资明细!I:I,B7,工资明细!J:J,C7)</f>
        <v>0</v>
      </c>
      <c r="N7" s="90">
        <f>SUMIFS(工资明细!AX:AX,工资明细!BM:BM,$F$1,工资明细!H:H,A7,工资明细!I:I,B7,工资明细!J:J,C7)</f>
        <v>0</v>
      </c>
    </row>
    <row r="8" customHeight="1" spans="1:14">
      <c r="A8" s="42" t="s">
        <v>47</v>
      </c>
      <c r="B8" s="43"/>
      <c r="C8" s="43"/>
      <c r="D8" s="48">
        <f t="shared" ref="D8:N8" si="0">SUM(D6:D7)</f>
        <v>0</v>
      </c>
      <c r="E8" s="49">
        <f t="shared" si="0"/>
        <v>0</v>
      </c>
      <c r="F8" s="49">
        <f t="shared" si="0"/>
        <v>0</v>
      </c>
      <c r="G8" s="49">
        <f t="shared" si="0"/>
        <v>0</v>
      </c>
      <c r="H8" s="49">
        <f t="shared" si="0"/>
        <v>0</v>
      </c>
      <c r="I8" s="49">
        <f t="shared" si="0"/>
        <v>0</v>
      </c>
      <c r="J8" s="49">
        <f t="shared" si="0"/>
        <v>0</v>
      </c>
      <c r="K8" s="49">
        <f t="shared" si="0"/>
        <v>0</v>
      </c>
      <c r="L8" s="49">
        <f t="shared" si="0"/>
        <v>0</v>
      </c>
      <c r="M8" s="49">
        <f t="shared" si="0"/>
        <v>0</v>
      </c>
      <c r="N8" s="50">
        <f t="shared" si="0"/>
        <v>0</v>
      </c>
    </row>
    <row r="10" ht="30" customHeight="1" spans="1:14">
      <c r="A10" s="51" t="s">
        <v>48</v>
      </c>
      <c r="B10" s="51"/>
      <c r="C10" s="51"/>
      <c r="D10" s="51"/>
      <c r="E10" s="51"/>
      <c r="F10" s="51"/>
      <c r="G10" s="51"/>
      <c r="M10" s="91"/>
    </row>
    <row r="11" customHeight="1" spans="1:14">
      <c r="A11" s="36" t="s">
        <v>4</v>
      </c>
      <c r="B11" s="37" t="s">
        <v>5</v>
      </c>
      <c r="C11" s="37" t="s">
        <v>6</v>
      </c>
      <c r="D11" s="37" t="s">
        <v>7</v>
      </c>
      <c r="E11" s="37" t="s">
        <v>49</v>
      </c>
      <c r="F11" s="37" t="s">
        <v>50</v>
      </c>
      <c r="G11" s="53" t="s">
        <v>47</v>
      </c>
    </row>
    <row r="12" customHeight="1" spans="1:14">
      <c r="A12" s="39"/>
      <c r="B12" s="40"/>
      <c r="C12" s="40"/>
      <c r="D12" s="40" t="s">
        <v>7</v>
      </c>
      <c r="E12" s="40" t="s">
        <v>18</v>
      </c>
      <c r="F12" s="40" t="s">
        <v>18</v>
      </c>
      <c r="G12" s="54"/>
    </row>
    <row r="13" customHeight="1" spans="1:14">
      <c r="A13" s="85" t="s">
        <v>23</v>
      </c>
      <c r="B13" s="86" t="s">
        <v>25</v>
      </c>
      <c r="C13" s="86" t="s">
        <v>70</v>
      </c>
      <c r="D13" s="87">
        <f>COUNTIFS(工资明细!BM:BM,$F$1,工资明细!H:H,A13,工资明细!I:I,B13,工资明细!J:J,C13)</f>
        <v>0</v>
      </c>
      <c r="E13" s="88">
        <f>SUMIFS(工资明细!BE:BE,工资明细!BM:BM,$F$1,工资明细!H:H,A13,工资明细!I:I,B13,工资明细!J:J,C13)</f>
        <v>0</v>
      </c>
      <c r="F13" s="89">
        <f>SUMIFS(工资明细!AT:AT,工资明细!BM:BM,$F$1,工资明细!H:H,A13,工资明细!I:I,B13,工资明细!J:J,C13)</f>
        <v>0</v>
      </c>
      <c r="G13" s="92">
        <f>SUM(E13:F13)</f>
        <v>0</v>
      </c>
    </row>
    <row r="14" customHeight="1" spans="1:14">
      <c r="A14" s="85" t="s">
        <v>29</v>
      </c>
      <c r="B14" s="86" t="s">
        <v>32</v>
      </c>
      <c r="C14" s="86" t="s">
        <v>71</v>
      </c>
      <c r="D14" s="87">
        <f>COUNTIFS(工资明细!BM:BM,$F$1,工资明细!H:H,A14,工资明细!I:I,B14,工资明细!J:J,C14)</f>
        <v>0</v>
      </c>
      <c r="E14" s="88">
        <f>SUMIFS(工资明细!BE:BE,工资明细!BM:BM,$F$1,工资明细!H:H,A14,工资明细!I:I,B14,工资明细!J:J,C14)</f>
        <v>0</v>
      </c>
      <c r="F14" s="89">
        <f>SUMIFS(工资明细!AT:AT,工资明细!BM:BM,$F$1,工资明细!H:H,A14,工资明细!I:I,B14,工资明细!J:J,C14)</f>
        <v>0</v>
      </c>
      <c r="G14" s="92">
        <f>SUM(E14:F14)</f>
        <v>0</v>
      </c>
    </row>
    <row r="15" s="28" customFormat="1" customHeight="1" spans="1:14">
      <c r="A15" s="42" t="s">
        <v>47</v>
      </c>
      <c r="B15" s="43"/>
      <c r="C15" s="43"/>
      <c r="D15" s="48">
        <f>SUM(D13:D14)</f>
        <v>0</v>
      </c>
      <c r="E15" s="49">
        <f>SUM(E13:E14)</f>
        <v>0</v>
      </c>
      <c r="F15" s="49">
        <f>SUM(F13:F14)</f>
        <v>0</v>
      </c>
      <c r="G15" s="49">
        <f>SUM(G13:G14)</f>
        <v>0</v>
      </c>
    </row>
    <row r="16" ht="14.25" customHeight="1"/>
    <row r="17" s="28" customFormat="1" ht="30" customHeight="1" spans="1:12">
      <c r="A17" s="80" t="s">
        <v>51</v>
      </c>
      <c r="B17" s="80"/>
      <c r="C17" s="80"/>
      <c r="D17" s="80"/>
      <c r="E17" s="80"/>
      <c r="F17" s="80"/>
      <c r="G17" s="80"/>
    </row>
    <row r="18" s="28" customFormat="1" customHeight="1" spans="1:12">
      <c r="A18" s="36" t="s">
        <v>4</v>
      </c>
      <c r="B18" s="37" t="s">
        <v>5</v>
      </c>
      <c r="C18" s="37" t="s">
        <v>6</v>
      </c>
      <c r="D18" s="37" t="s">
        <v>7</v>
      </c>
      <c r="E18" s="37" t="s">
        <v>52</v>
      </c>
      <c r="F18" s="37" t="s">
        <v>53</v>
      </c>
      <c r="G18" s="37" t="s">
        <v>54</v>
      </c>
      <c r="H18" s="37" t="s">
        <v>55</v>
      </c>
      <c r="I18" s="37" t="s">
        <v>56</v>
      </c>
      <c r="J18" s="37" t="s">
        <v>57</v>
      </c>
      <c r="K18" s="37" t="s">
        <v>58</v>
      </c>
      <c r="L18" s="38" t="s">
        <v>47</v>
      </c>
    </row>
    <row r="19" s="28" customFormat="1" customHeight="1" spans="1:12">
      <c r="A19" s="39"/>
      <c r="B19" s="40"/>
      <c r="C19" s="40"/>
      <c r="D19" s="40"/>
      <c r="E19" s="40" t="s">
        <v>18</v>
      </c>
      <c r="F19" s="40" t="s">
        <v>18</v>
      </c>
      <c r="G19" s="40" t="s">
        <v>18</v>
      </c>
      <c r="H19" s="40" t="s">
        <v>18</v>
      </c>
      <c r="I19" s="40" t="s">
        <v>18</v>
      </c>
      <c r="J19" s="40" t="s">
        <v>18</v>
      </c>
      <c r="K19" s="40" t="s">
        <v>18</v>
      </c>
      <c r="L19" s="41"/>
    </row>
    <row r="20" s="28" customFormat="1" customHeight="1" spans="1:12">
      <c r="A20" s="85" t="s">
        <v>23</v>
      </c>
      <c r="B20" s="86" t="s">
        <v>25</v>
      </c>
      <c r="C20" s="86" t="s">
        <v>70</v>
      </c>
      <c r="D20" s="87">
        <f>COUNTIFS(工资明细!BM:BM,$F$1,工资明细!H:H,A20,工资明细!I:I,B20,工资明细!J:J,C20)</f>
        <v>0</v>
      </c>
      <c r="E20" s="88">
        <f>SUMIFS(工资明细!AY:AY,工资明细!BM:BM,$F$1,工资明细!H:H,A20,工资明细!I:I,B20,工资明细!J:J,C20)</f>
        <v>0</v>
      </c>
      <c r="F20" s="89">
        <f>SUMIFS(工资明细!AZ:AZ,工资明细!BM:BM,$F$1,工资明细!H:H,A20,工资明细!I:I,B20,工资明细!J:J,C20)</f>
        <v>0</v>
      </c>
      <c r="G20" s="89">
        <f>SUMIFS(工资明细!BA:BA,工资明细!BM:BM,$F$1,工资明细!H:H,A20,工资明细!I:I,B20,工资明细!J:J,C20)</f>
        <v>0</v>
      </c>
      <c r="H20" s="89">
        <f>SUMIFS(工资明细!BB:BB,工资明细!BM:BM,$F$1,工资明细!H:H,A20,工资明细!I:I,B20,工资明细!J:J,C20)</f>
        <v>0</v>
      </c>
      <c r="I20" s="89">
        <f>SUMIFS(工资明细!BC:BC,工资明细!BM:BM,$F$1,工资明细!H:H,A20,工资明细!I:I,B20,工资明细!J:J,C20)</f>
        <v>0</v>
      </c>
      <c r="J20" s="93">
        <f>SUM(E20:I20)</f>
        <v>0</v>
      </c>
      <c r="K20" s="94">
        <f>SUMIFS(工资明细!AS:AS,工资明细!BM:BM,$F$1,工资明细!H:H,A20,工资明细!I:I,B20,工资明细!J:J,C20)</f>
        <v>0</v>
      </c>
      <c r="L20" s="92">
        <f>SUM(J20:K20)</f>
        <v>0</v>
      </c>
    </row>
    <row r="21" s="28" customFormat="1" customHeight="1" spans="1:12">
      <c r="A21" s="85" t="s">
        <v>29</v>
      </c>
      <c r="B21" s="86" t="s">
        <v>32</v>
      </c>
      <c r="C21" s="86" t="s">
        <v>71</v>
      </c>
      <c r="D21" s="87">
        <f>COUNTIFS(工资明细!BM:BM,$F$1,工资明细!H:H,A21,工资明细!I:I,B21,工资明细!J:J,C21)</f>
        <v>0</v>
      </c>
      <c r="E21" s="88">
        <f>SUMIFS(工资明细!AY:AY,工资明细!BM:BM,$F$1,工资明细!H:H,A21,工资明细!I:I,B21,工资明细!J:J,C21)</f>
        <v>0</v>
      </c>
      <c r="F21" s="89">
        <f>SUMIFS(工资明细!AZ:AZ,工资明细!BM:BM,$F$1,工资明细!H:H,A21,工资明细!I:I,B21,工资明细!J:J,C21)</f>
        <v>0</v>
      </c>
      <c r="G21" s="89">
        <f>SUMIFS(工资明细!BA:BA,工资明细!BM:BM,$F$1,工资明细!H:H,A21,工资明细!I:I,B21,工资明细!J:J,C21)</f>
        <v>0</v>
      </c>
      <c r="H21" s="89">
        <f>SUMIFS(工资明细!BB:BB,工资明细!BM:BM,$F$1,工资明细!H:H,A21,工资明细!I:I,B21,工资明细!J:J,C21)</f>
        <v>0</v>
      </c>
      <c r="I21" s="89">
        <f>SUMIFS(工资明细!BC:BC,工资明细!BM:BM,$F$1,工资明细!H:H,A21,工资明细!I:I,B21,工资明细!J:J,C21)</f>
        <v>0</v>
      </c>
      <c r="J21" s="93">
        <f>SUM(E21:I21)</f>
        <v>0</v>
      </c>
      <c r="K21" s="94">
        <f>SUMIFS(工资明细!AS:AS,工资明细!BM:BM,$F$1,工资明细!H:H,A21,工资明细!I:I,B21,工资明细!J:J,C21)</f>
        <v>0</v>
      </c>
      <c r="L21" s="92">
        <f>SUM(J21:K21)</f>
        <v>0</v>
      </c>
    </row>
    <row r="22" s="28" customFormat="1" customHeight="1" spans="1:12">
      <c r="A22" s="42" t="s">
        <v>47</v>
      </c>
      <c r="B22" s="43"/>
      <c r="C22" s="43"/>
      <c r="D22" s="48">
        <f t="shared" ref="D22:L22" si="1">SUM(D20:D21)</f>
        <v>0</v>
      </c>
      <c r="E22" s="49">
        <f t="shared" si="1"/>
        <v>0</v>
      </c>
      <c r="F22" s="49">
        <f t="shared" si="1"/>
        <v>0</v>
      </c>
      <c r="G22" s="49">
        <f t="shared" si="1"/>
        <v>0</v>
      </c>
      <c r="H22" s="49">
        <f t="shared" si="1"/>
        <v>0</v>
      </c>
      <c r="I22" s="49">
        <f t="shared" si="1"/>
        <v>0</v>
      </c>
      <c r="J22" s="49">
        <f t="shared" si="1"/>
        <v>0</v>
      </c>
      <c r="K22" s="49">
        <f t="shared" si="1"/>
        <v>0</v>
      </c>
      <c r="L22" s="49">
        <f t="shared" si="1"/>
        <v>0</v>
      </c>
    </row>
    <row r="23" ht="30" customHeight="1"/>
  </sheetData>
  <protectedRanges>
    <protectedRange sqref="E8" name="区域1_4_1_3_1_1"/>
    <protectedRange sqref="D6" name="区域1_4_1_3_1_1_1"/>
  </protectedRanges>
  <mergeCells count="20">
    <mergeCell ref="A3:K3"/>
    <mergeCell ref="A8:C8"/>
    <mergeCell ref="A10:G10"/>
    <mergeCell ref="A15:C15"/>
    <mergeCell ref="A17:G17"/>
    <mergeCell ref="A22:C22"/>
    <mergeCell ref="A4:A5"/>
    <mergeCell ref="A11:A12"/>
    <mergeCell ref="A18:A19"/>
    <mergeCell ref="B4:B5"/>
    <mergeCell ref="B11:B12"/>
    <mergeCell ref="B18:B19"/>
    <mergeCell ref="C4:C5"/>
    <mergeCell ref="C11:C12"/>
    <mergeCell ref="C18:C19"/>
    <mergeCell ref="D4:D5"/>
    <mergeCell ref="D11:D12"/>
    <mergeCell ref="D18:D19"/>
    <mergeCell ref="G11:G12"/>
    <mergeCell ref="L18:L19"/>
  </mergeCells>
  <pageMargins left="0.7" right="0.7" top="0.75" bottom="0.75" header="0.3" footer="0.3"/>
  <pageSetup paperSize="9" scale="84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view="pageBreakPreview" zoomScaleNormal="100" workbookViewId="0">
      <selection activeCell="B2" sqref="B2"/>
    </sheetView>
  </sheetViews>
  <sheetFormatPr defaultColWidth="9" defaultRowHeight="18" customHeight="1"/>
  <cols>
    <col min="1" max="1" width="10.7522123893805" style="29" customWidth="1"/>
    <col min="2" max="3" width="12.2477876106195" style="29" customWidth="1"/>
    <col min="4" max="4" width="5.75221238938053" style="29" customWidth="1"/>
    <col min="5" max="5" width="11.3716814159292" style="29" customWidth="1"/>
    <col min="6" max="7" width="10.3716814159292" style="29" customWidth="1"/>
    <col min="8" max="8" width="9.12389380530973" style="29" customWidth="1"/>
    <col min="9" max="9" width="12.6283185840708" style="29" customWidth="1"/>
    <col min="10" max="10" width="10.7522123893805" style="29" customWidth="1"/>
    <col min="11" max="12" width="10.3716814159292" style="29" customWidth="1"/>
    <col min="13" max="13" width="9.12389380530973" style="29" customWidth="1"/>
    <col min="14" max="14" width="11.3716814159292" style="29" customWidth="1"/>
    <col min="15" max="15" width="9.75221238938053" style="29" customWidth="1"/>
    <col min="16" max="16" width="13.3716814159292" style="29" customWidth="1"/>
    <col min="17" max="16384" width="9" style="29"/>
  </cols>
  <sheetData>
    <row r="1" s="28" customFormat="1" ht="30" customHeight="1" spans="1:14">
      <c r="A1" s="60" t="s">
        <v>0</v>
      </c>
      <c r="B1" s="61">
        <f>北分人力成本!B1</f>
        <v>46204</v>
      </c>
      <c r="C1" s="62"/>
      <c r="D1" s="63"/>
      <c r="E1" s="64" t="s">
        <v>1</v>
      </c>
      <c r="F1" s="65" t="s">
        <v>72</v>
      </c>
      <c r="G1" s="65"/>
      <c r="H1" s="65"/>
      <c r="I1" s="63"/>
      <c r="J1" s="63"/>
      <c r="K1" s="63"/>
      <c r="L1" s="63"/>
      <c r="M1" s="63"/>
      <c r="N1" s="63"/>
    </row>
    <row r="2" s="28" customFormat="1" ht="17.25" customHeight="1" spans="1:1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="28" customFormat="1" ht="30" customHeight="1" spans="1:14">
      <c r="A3" s="66" t="s">
        <v>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  <c r="M3" s="68"/>
      <c r="N3" s="69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customHeight="1" spans="1:14">
      <c r="A6" s="36" t="s">
        <v>29</v>
      </c>
      <c r="B6" s="37" t="s">
        <v>61</v>
      </c>
      <c r="C6" s="37" t="s">
        <v>73</v>
      </c>
      <c r="D6" s="70">
        <f>COUNTIFS(工资明细!BM:BM,$F$1,工资明细!H:H,A6,工资明细!I:I,B6,工资明细!J:J,C6)</f>
        <v>0</v>
      </c>
      <c r="E6" s="71">
        <f>SUMIFS(工资明细!AO:AO,工资明细!BM:BM,$F$1,工资明细!H:H,A6,工资明细!I:I,B6,工资明细!J:J,C6)</f>
        <v>0</v>
      </c>
      <c r="F6" s="71">
        <f>SUMIFS(工资明细!AP:AP,工资明细!BM:BM,$F$1,工资明细!H:H,A6,工资明细!I:I,B6,工资明细!J:J,C6)</f>
        <v>0</v>
      </c>
      <c r="G6" s="71">
        <f>SUMIFS(工资明细!AQ:AQ,工资明细!BM:BM,$F$1,工资明细!H:H,A6,工资明细!I:I,B6,工资明细!J:J,C6)</f>
        <v>0</v>
      </c>
      <c r="H6" s="71">
        <f>SUMIFS(工资明细!AR:AR,工资明细!BM:BM,$F$1,工资明细!H:H,A6,工资明细!I:I,B6,工资明细!J:J,C6)</f>
        <v>0</v>
      </c>
      <c r="I6" s="71">
        <f>F6+G6+H6</f>
        <v>0</v>
      </c>
      <c r="J6" s="71">
        <f>SUMIFS(工资明细!AT:AT,工资明细!BM:BM,$F$1,工资明细!H:H,A6,工资明细!I:I,B6,工资明细!J:J,C6)</f>
        <v>0</v>
      </c>
      <c r="K6" s="71">
        <f>SUMIFS(工资明细!AU:AU,工资明细!BM:BM,$F$1,工资明细!H:H,A6,工资明细!I:I,B6,工资明细!J:J,C6)</f>
        <v>0</v>
      </c>
      <c r="L6" s="71">
        <f>SUMIFS(工资明细!AV:AV,工资明细!BM:BM,$F$1,工资明细!H:H,A6,工资明细!I:I,B6,工资明细!J:J,C6)</f>
        <v>0</v>
      </c>
      <c r="M6" s="72">
        <f>SUMIFS(工资明细!AW:AW,工资明细!BM:BM,$F$1,工资明细!H:H,A6,工资明细!I:I,B6,工资明细!J:J,C6)</f>
        <v>0</v>
      </c>
      <c r="N6" s="73">
        <f>SUMIFS(工资明细!AX:AX,工资明细!BM:BM,$F$1,工资明细!H:H,A6,工资明细!I:I,B6,工资明细!J:J,C6)</f>
        <v>0</v>
      </c>
    </row>
    <row r="7" customHeight="1" spans="1:14">
      <c r="A7" s="39" t="s">
        <v>34</v>
      </c>
      <c r="B7" s="40" t="s">
        <v>35</v>
      </c>
      <c r="C7" s="40" t="s">
        <v>37</v>
      </c>
      <c r="D7" s="74">
        <f>COUNTIFS(工资明细!BM:BM,$F$1,工资明细!H:H,A7,工资明细!I:I,B7,工资明细!J:J,C7)</f>
        <v>0</v>
      </c>
      <c r="E7" s="75">
        <f>SUMIFS(工资明细!AO:AO,工资明细!BM:BM,$F$1,工资明细!H:H,A7,工资明细!I:I,B7,工资明细!J:J,C7)</f>
        <v>0</v>
      </c>
      <c r="F7" s="75">
        <f>SUMIFS(工资明细!AP:AP,工资明细!BM:BM,$F$1,工资明细!H:H,A7,工资明细!I:I,B7,工资明细!J:J,C7)</f>
        <v>0</v>
      </c>
      <c r="G7" s="75">
        <f>SUMIFS(工资明细!AQ:AQ,工资明细!BM:BM,$F$1,工资明细!H:H,A7,工资明细!I:I,B7,工资明细!J:J,C7)</f>
        <v>0</v>
      </c>
      <c r="H7" s="75">
        <f>SUMIFS(工资明细!AR:AR,工资明细!BM:BM,$F$1,工资明细!H:H,A7,工资明细!I:I,B7,工资明细!J:J,C7)</f>
        <v>0</v>
      </c>
      <c r="I7" s="75">
        <f>F7+G7+H7</f>
        <v>0</v>
      </c>
      <c r="J7" s="75">
        <f>SUMIFS(工资明细!AT:AT,工资明细!BM:BM,$F$1,工资明细!H:H,A7,工资明细!I:I,B7,工资明细!J:J,C7)</f>
        <v>0</v>
      </c>
      <c r="K7" s="75">
        <f>SUMIFS(工资明细!AU:AU,工资明细!BM:BM,$F$1,工资明细!H:H,A7,工资明细!I:I,B7,工资明细!J:J,C7)</f>
        <v>0</v>
      </c>
      <c r="L7" s="75">
        <f>SUMIFS(工资明细!AV:AV,工资明细!BM:BM,$F$1,工资明细!H:H,A7,工资明细!I:I,B7,工资明细!J:J,C7)</f>
        <v>0</v>
      </c>
      <c r="M7" s="76">
        <f>SUMIFS(工资明细!AW:AW,工资明细!BM:BM,$F$1,工资明细!H:H,A7,工资明细!I:I,B7,工资明细!J:J,C7)</f>
        <v>0</v>
      </c>
      <c r="N7" s="77">
        <f>SUMIFS(工资明细!AX:AX,工资明细!BM:BM,$F$1,工资明细!H:H,A7,工资明细!I:I,B7,工资明细!J:J,C7)</f>
        <v>0</v>
      </c>
    </row>
    <row r="8" s="29" customFormat="1" customHeight="1" spans="1:14">
      <c r="A8" s="42" t="s">
        <v>47</v>
      </c>
      <c r="B8" s="43"/>
      <c r="C8" s="43"/>
      <c r="D8" s="48">
        <f t="shared" ref="D8:N8" si="0">SUM(D6:D7)</f>
        <v>0</v>
      </c>
      <c r="E8" s="49">
        <f t="shared" si="0"/>
        <v>0</v>
      </c>
      <c r="F8" s="49">
        <f t="shared" si="0"/>
        <v>0</v>
      </c>
      <c r="G8" s="49">
        <f t="shared" si="0"/>
        <v>0</v>
      </c>
      <c r="H8" s="49">
        <f t="shared" si="0"/>
        <v>0</v>
      </c>
      <c r="I8" s="49">
        <f t="shared" si="0"/>
        <v>0</v>
      </c>
      <c r="J8" s="49">
        <f t="shared" si="0"/>
        <v>0</v>
      </c>
      <c r="K8" s="49">
        <f t="shared" si="0"/>
        <v>0</v>
      </c>
      <c r="L8" s="49">
        <f t="shared" si="0"/>
        <v>0</v>
      </c>
      <c r="M8" s="49">
        <f t="shared" si="0"/>
        <v>0</v>
      </c>
      <c r="N8" s="50">
        <f t="shared" si="0"/>
        <v>0</v>
      </c>
    </row>
    <row r="10" ht="30" customHeight="1" spans="1:14">
      <c r="A10" s="51" t="s">
        <v>48</v>
      </c>
      <c r="B10" s="51"/>
      <c r="C10" s="51"/>
      <c r="D10" s="51"/>
      <c r="E10" s="51"/>
      <c r="F10" s="51"/>
      <c r="G10" s="51"/>
      <c r="H10" s="52"/>
      <c r="I10" s="52"/>
      <c r="J10" s="52"/>
    </row>
    <row r="11" customHeight="1" spans="1:14">
      <c r="A11" s="36" t="s">
        <v>4</v>
      </c>
      <c r="B11" s="37" t="s">
        <v>5</v>
      </c>
      <c r="C11" s="37" t="s">
        <v>6</v>
      </c>
      <c r="D11" s="37" t="s">
        <v>7</v>
      </c>
      <c r="E11" s="37" t="s">
        <v>49</v>
      </c>
      <c r="F11" s="37" t="s">
        <v>50</v>
      </c>
      <c r="G11" s="53" t="s">
        <v>47</v>
      </c>
    </row>
    <row r="12" customHeight="1" spans="1:14">
      <c r="A12" s="39"/>
      <c r="B12" s="40"/>
      <c r="C12" s="40"/>
      <c r="D12" s="40" t="s">
        <v>7</v>
      </c>
      <c r="E12" s="40" t="s">
        <v>18</v>
      </c>
      <c r="F12" s="40" t="s">
        <v>18</v>
      </c>
      <c r="G12" s="54"/>
    </row>
    <row r="13" customHeight="1" spans="1:14">
      <c r="A13" s="36" t="s">
        <v>29</v>
      </c>
      <c r="B13" s="37" t="s">
        <v>61</v>
      </c>
      <c r="C13" s="37" t="s">
        <v>73</v>
      </c>
      <c r="D13" s="70">
        <f>COUNTIFS(工资明细!BM:BM,$F$1,工资明细!H:H,A13,工资明细!I:I,B13,工资明细!J:J,C13)</f>
        <v>0</v>
      </c>
      <c r="E13" s="71">
        <f>SUMIFS(工资明细!BE:BE,工资明细!BM:BM,$F$1,工资明细!H:H,A13,工资明细!I:I,B13,工资明细!J:J,C13)</f>
        <v>0</v>
      </c>
      <c r="F13" s="72">
        <f>SUMIFS(工资明细!AT:AT,工资明细!BM:BM,$F$1,工资明细!H:H,A13,工资明细!I:I,B13,工资明细!J:J,C13)</f>
        <v>0</v>
      </c>
      <c r="G13" s="78">
        <f>SUM(E13:F13)</f>
        <v>0</v>
      </c>
    </row>
    <row r="14" customHeight="1" spans="1:14">
      <c r="A14" s="39" t="s">
        <v>34</v>
      </c>
      <c r="B14" s="40" t="s">
        <v>35</v>
      </c>
      <c r="C14" s="40" t="s">
        <v>37</v>
      </c>
      <c r="D14" s="74">
        <f>COUNTIFS(工资明细!BM:BM,$F$1,工资明细!H:H,A14,工资明细!I:I,B14,工资明细!J:J,C14)</f>
        <v>0</v>
      </c>
      <c r="E14" s="75">
        <f>SUMIFS(工资明细!BE:BE,工资明细!BM:BM,$F$1,工资明细!H:H,A14,工资明细!I:I,B14,工资明细!J:J,C14)</f>
        <v>0</v>
      </c>
      <c r="F14" s="76">
        <f>SUMIFS(工资明细!AT:AT,工资明细!BM:BM,$F$1,工资明细!H:H,A14,工资明细!I:I,B14,工资明细!J:J,C14)</f>
        <v>0</v>
      </c>
      <c r="G14" s="79">
        <f>SUM(E14:F14)</f>
        <v>0</v>
      </c>
    </row>
    <row r="15" s="28" customFormat="1" customHeight="1" spans="1:14">
      <c r="A15" s="42" t="s">
        <v>47</v>
      </c>
      <c r="B15" s="43"/>
      <c r="C15" s="43"/>
      <c r="D15" s="48">
        <f>SUM(D13:D14)</f>
        <v>0</v>
      </c>
      <c r="E15" s="49">
        <f>SUM(E13:E14)</f>
        <v>0</v>
      </c>
      <c r="F15" s="49">
        <f>SUM(F13:F14)</f>
        <v>0</v>
      </c>
      <c r="G15" s="49">
        <f>SUM(G13:G14)</f>
        <v>0</v>
      </c>
      <c r="H15" s="29"/>
      <c r="I15" s="29"/>
      <c r="J15" s="29"/>
      <c r="K15" s="29"/>
    </row>
    <row r="16" ht="14.25" customHeight="1"/>
    <row r="17" s="28" customFormat="1" ht="30" customHeight="1" spans="1:17">
      <c r="A17" s="80" t="s">
        <v>51</v>
      </c>
      <c r="B17" s="80"/>
      <c r="C17" s="80"/>
      <c r="D17" s="80"/>
      <c r="E17" s="80"/>
      <c r="F17" s="80"/>
      <c r="G17" s="80"/>
      <c r="H17" s="29"/>
      <c r="I17" s="29"/>
      <c r="J17" s="29"/>
      <c r="K17" s="29"/>
      <c r="L17" s="29"/>
    </row>
    <row r="18" s="28" customFormat="1" customHeight="1" spans="1:17">
      <c r="A18" s="36" t="s">
        <v>4</v>
      </c>
      <c r="B18" s="37" t="s">
        <v>5</v>
      </c>
      <c r="C18" s="37" t="s">
        <v>6</v>
      </c>
      <c r="D18" s="37" t="s">
        <v>7</v>
      </c>
      <c r="E18" s="37" t="s">
        <v>52</v>
      </c>
      <c r="F18" s="37" t="s">
        <v>53</v>
      </c>
      <c r="G18" s="37" t="s">
        <v>54</v>
      </c>
      <c r="H18" s="37" t="s">
        <v>55</v>
      </c>
      <c r="I18" s="37" t="s">
        <v>56</v>
      </c>
      <c r="J18" s="37" t="s">
        <v>57</v>
      </c>
      <c r="K18" s="37" t="s">
        <v>58</v>
      </c>
      <c r="L18" s="38" t="s">
        <v>47</v>
      </c>
    </row>
    <row r="19" s="28" customFormat="1" customHeight="1" spans="1:17">
      <c r="A19" s="39"/>
      <c r="B19" s="40"/>
      <c r="C19" s="40"/>
      <c r="D19" s="40"/>
      <c r="E19" s="40" t="s">
        <v>18</v>
      </c>
      <c r="F19" s="40" t="s">
        <v>18</v>
      </c>
      <c r="G19" s="40" t="s">
        <v>18</v>
      </c>
      <c r="H19" s="40" t="s">
        <v>18</v>
      </c>
      <c r="I19" s="40" t="s">
        <v>18</v>
      </c>
      <c r="J19" s="40" t="s">
        <v>18</v>
      </c>
      <c r="K19" s="40" t="s">
        <v>18</v>
      </c>
      <c r="L19" s="41"/>
    </row>
    <row r="20" customHeight="1" spans="1:17">
      <c r="A20" s="36" t="s">
        <v>29</v>
      </c>
      <c r="B20" s="37" t="s">
        <v>61</v>
      </c>
      <c r="C20" s="37" t="s">
        <v>73</v>
      </c>
      <c r="D20" s="70">
        <f>COUNTIFS(工资明细!BM:BM,$F$1,工资明细!H:H,A20,工资明细!I:I,B20,工资明细!J:J,C20)</f>
        <v>0</v>
      </c>
      <c r="E20" s="71">
        <f>SUMIFS(工资明细!AY:AY,工资明细!BM:BM,$F$1,工资明细!H:H,A20,工资明细!I:I,B20,工资明细!J:J,C20)</f>
        <v>0</v>
      </c>
      <c r="F20" s="72">
        <f>SUMIFS(工资明细!AZ:AZ,工资明细!BM:BM,$F$1,工资明细!H:H,A20,工资明细!I:I,B20,工资明细!J:J,C20)</f>
        <v>0</v>
      </c>
      <c r="G20" s="72">
        <f>SUMIFS(工资明细!BA:BA,工资明细!BM:BM,$F$1,工资明细!H:H,A20,工资明细!I:I,B20,工资明细!J:J,C20)</f>
        <v>0</v>
      </c>
      <c r="H20" s="72">
        <f>SUMIFS(工资明细!BB:BB,工资明细!BM:BM,$F$1,工资明细!H:H,A20,工资明细!I:I,B20,工资明细!J:J,C20)</f>
        <v>0</v>
      </c>
      <c r="I20" s="72">
        <f>SUMIFS(工资明细!BC:BC,工资明细!BM:BM,$F$1,工资明细!H:H,A20,工资明细!I:I,B20,工资明细!J:J,C20)</f>
        <v>0</v>
      </c>
      <c r="J20" s="81">
        <f>SUM(E20:I20)</f>
        <v>0</v>
      </c>
      <c r="K20" s="82">
        <f>SUMIFS(工资明细!AS:AS,工资明细!BM:BM,$F$1,工资明细!H:H,A20,工资明细!I:I,B20,工资明细!J:J,C20)</f>
        <v>0</v>
      </c>
      <c r="L20" s="78">
        <f>SUM(J20:K20)</f>
        <v>0</v>
      </c>
      <c r="M20" s="28"/>
      <c r="N20" s="28"/>
      <c r="O20" s="28"/>
      <c r="P20" s="28"/>
      <c r="Q20" s="28"/>
    </row>
    <row r="21" customHeight="1" spans="1:17">
      <c r="A21" s="39" t="s">
        <v>34</v>
      </c>
      <c r="B21" s="40" t="s">
        <v>35</v>
      </c>
      <c r="C21" s="40" t="s">
        <v>37</v>
      </c>
      <c r="D21" s="74">
        <f>COUNTIFS(工资明细!BM:BM,$F$1,工资明细!H:H,A21,工资明细!I:I,B21,工资明细!J:J,C21)</f>
        <v>0</v>
      </c>
      <c r="E21" s="75">
        <f>SUMIFS(工资明细!AY:AY,工资明细!BM:BM,$F$1,工资明细!H:H,A21,工资明细!I:I,B21,工资明细!J:J,C21)</f>
        <v>0</v>
      </c>
      <c r="F21" s="76">
        <f>SUMIFS(工资明细!AZ:AZ,工资明细!BM:BM,$F$1,工资明细!H:H,A21,工资明细!I:I,B21,工资明细!J:J,C21)</f>
        <v>0</v>
      </c>
      <c r="G21" s="76">
        <f>SUMIFS(工资明细!BA:BA,工资明细!BM:BM,$F$1,工资明细!H:H,A21,工资明细!I:I,B21,工资明细!J:J,C21)</f>
        <v>0</v>
      </c>
      <c r="H21" s="76">
        <f>SUMIFS(工资明细!BB:BB,工资明细!BM:BM,$F$1,工资明细!H:H,A21,工资明细!I:I,B21,工资明细!J:J,C21)</f>
        <v>0</v>
      </c>
      <c r="I21" s="76">
        <f>SUMIFS(工资明细!BC:BC,工资明细!BM:BM,$F$1,工资明细!H:H,A21,工资明细!I:I,B21,工资明细!J:J,C21)</f>
        <v>0</v>
      </c>
      <c r="J21" s="83">
        <f>SUM(E21:I21)</f>
        <v>0</v>
      </c>
      <c r="K21" s="84">
        <f>SUMIFS(工资明细!AS:AS,工资明细!BM:BM,$F$1,工资明细!H:H,A21,工资明细!I:I,B21,工资明细!J:J,C21)</f>
        <v>0</v>
      </c>
      <c r="L21" s="79">
        <f>SUM(J21:K21)</f>
        <v>0</v>
      </c>
      <c r="M21" s="28"/>
      <c r="N21" s="28"/>
      <c r="O21" s="28"/>
      <c r="P21" s="28"/>
      <c r="Q21" s="28"/>
    </row>
    <row r="22" s="28" customFormat="1" customHeight="1" spans="1:17">
      <c r="A22" s="42" t="s">
        <v>47</v>
      </c>
      <c r="B22" s="43"/>
      <c r="C22" s="43"/>
      <c r="D22" s="48">
        <f t="shared" ref="D22:L22" si="1">SUM(D20:D21)</f>
        <v>0</v>
      </c>
      <c r="E22" s="49">
        <f t="shared" si="1"/>
        <v>0</v>
      </c>
      <c r="F22" s="49">
        <f t="shared" si="1"/>
        <v>0</v>
      </c>
      <c r="G22" s="49">
        <f t="shared" si="1"/>
        <v>0</v>
      </c>
      <c r="H22" s="49">
        <f t="shared" si="1"/>
        <v>0</v>
      </c>
      <c r="I22" s="49">
        <f t="shared" si="1"/>
        <v>0</v>
      </c>
      <c r="J22" s="49">
        <f t="shared" si="1"/>
        <v>0</v>
      </c>
      <c r="K22" s="49">
        <f t="shared" si="1"/>
        <v>0</v>
      </c>
      <c r="L22" s="49">
        <f t="shared" si="1"/>
        <v>0</v>
      </c>
    </row>
    <row r="23" ht="30" customHeight="1"/>
  </sheetData>
  <protectedRanges>
    <protectedRange sqref="M20:M21" name="区域1_4_1_1_1"/>
    <protectedRange sqref="H13:H14" name="区域1_4_1_2_1_2"/>
    <protectedRange sqref="J11 E7:H7" name="区域1_4_1_3_1_3"/>
    <protectedRange sqref="D7 D14" name="区域1_4_1_3_1_1_3"/>
    <protectedRange sqref="D6" name="区域1_4_1_3_1_1_1"/>
  </protectedRanges>
  <mergeCells count="20">
    <mergeCell ref="A3:K3"/>
    <mergeCell ref="A8:C8"/>
    <mergeCell ref="A10:G10"/>
    <mergeCell ref="A15:C15"/>
    <mergeCell ref="A17:G17"/>
    <mergeCell ref="A22:C22"/>
    <mergeCell ref="A4:A5"/>
    <mergeCell ref="A11:A12"/>
    <mergeCell ref="A18:A19"/>
    <mergeCell ref="B4:B5"/>
    <mergeCell ref="B11:B12"/>
    <mergeCell ref="B18:B19"/>
    <mergeCell ref="C4:C5"/>
    <mergeCell ref="C11:C12"/>
    <mergeCell ref="C18:C19"/>
    <mergeCell ref="D4:D5"/>
    <mergeCell ref="D11:D12"/>
    <mergeCell ref="D18:D19"/>
    <mergeCell ref="G11:G12"/>
    <mergeCell ref="L18:L19"/>
  </mergeCells>
  <pageMargins left="0.7" right="0.7" top="0.75" bottom="0.75" header="0.3" footer="0.3"/>
  <pageSetup paperSize="9" scale="8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view="pageBreakPreview" zoomScaleNormal="100" workbookViewId="0">
      <selection activeCell="B2" sqref="B2"/>
    </sheetView>
  </sheetViews>
  <sheetFormatPr defaultColWidth="9" defaultRowHeight="18" customHeight="1"/>
  <cols>
    <col min="1" max="1" width="9.12389380530973" style="29" customWidth="1"/>
    <col min="2" max="3" width="12.2477876106195" style="29" customWidth="1"/>
    <col min="4" max="4" width="5.75221238938053" style="29" customWidth="1"/>
    <col min="5" max="5" width="11.3716814159292" style="29" customWidth="1"/>
    <col min="6" max="7" width="10.3716814159292" style="29" customWidth="1"/>
    <col min="8" max="8" width="10.3628318584071" style="29" customWidth="1"/>
    <col min="9" max="9" width="12.6283185840708" style="29" customWidth="1"/>
    <col min="10" max="10" width="10.7522123893805" style="29" customWidth="1"/>
    <col min="11" max="12" width="10.3716814159292" style="29" customWidth="1"/>
    <col min="13" max="13" width="9.12389380530973" style="29" customWidth="1"/>
    <col min="14" max="14" width="11.3716814159292" style="29" customWidth="1"/>
    <col min="15" max="15" width="15.3716814159292" style="29" customWidth="1"/>
    <col min="16" max="16" width="9" style="29"/>
    <col min="17" max="17" width="9.75221238938053" style="29" customWidth="1"/>
    <col min="18" max="18" width="13.3716814159292" style="29" customWidth="1"/>
    <col min="19" max="16384" width="9" style="29"/>
  </cols>
  <sheetData>
    <row r="1" s="28" customFormat="1" ht="30" customHeight="1" spans="1:14">
      <c r="A1" s="30" t="s">
        <v>0</v>
      </c>
      <c r="B1" s="31">
        <f>北分人力成本!B1</f>
        <v>46204</v>
      </c>
      <c r="C1" s="32"/>
      <c r="E1" s="33" t="s">
        <v>1</v>
      </c>
      <c r="F1" s="34" t="s">
        <v>74</v>
      </c>
      <c r="G1" s="34"/>
      <c r="H1" s="34"/>
    </row>
    <row r="2" s="28" customFormat="1" ht="17.25" customHeight="1"/>
    <row r="3" s="28" customFormat="1" ht="30" customHeight="1" spans="1:14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="28" customFormat="1" customHeight="1" spans="1:14">
      <c r="A4" s="36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16</v>
      </c>
      <c r="N4" s="38" t="s">
        <v>17</v>
      </c>
    </row>
    <row r="5" s="28" customFormat="1" customHeight="1" spans="1:14">
      <c r="A5" s="39"/>
      <c r="B5" s="40"/>
      <c r="C5" s="40"/>
      <c r="D5" s="40"/>
      <c r="E5" s="40" t="s">
        <v>18</v>
      </c>
      <c r="F5" s="40" t="s">
        <v>18</v>
      </c>
      <c r="G5" s="40" t="s">
        <v>18</v>
      </c>
      <c r="H5" s="40" t="s">
        <v>18</v>
      </c>
      <c r="I5" s="40" t="s">
        <v>18</v>
      </c>
      <c r="J5" s="40" t="s">
        <v>18</v>
      </c>
      <c r="K5" s="40" t="s">
        <v>18</v>
      </c>
      <c r="L5" s="40" t="s">
        <v>18</v>
      </c>
      <c r="M5" s="40" t="s">
        <v>18</v>
      </c>
      <c r="N5" s="41" t="s">
        <v>18</v>
      </c>
    </row>
    <row r="6" customHeight="1" spans="1:14">
      <c r="A6" s="42" t="s">
        <v>29</v>
      </c>
      <c r="B6" s="43" t="s">
        <v>32</v>
      </c>
      <c r="C6" s="43" t="s">
        <v>33</v>
      </c>
      <c r="D6" s="44">
        <f>COUNTIFS(工资明细!BM:BM,$F$1,工资明细!H:H,A6,工资明细!I:I,B6,工资明细!J:J,C6)</f>
        <v>0</v>
      </c>
      <c r="E6" s="45">
        <f>SUMIFS(工资明细!AO:AO,工资明细!BM:BM,$F$1,工资明细!H:H,A6,工资明细!I:I,B6,工资明细!J:J,C6)</f>
        <v>0</v>
      </c>
      <c r="F6" s="45">
        <f>SUMIFS(工资明细!AP:AP,工资明细!BM:BM,$F$1,工资明细!H:H,A6,工资明细!I:I,B6,工资明细!J:J,C6)</f>
        <v>0</v>
      </c>
      <c r="G6" s="45">
        <f>SUMIFS(工资明细!AQ:AQ,工资明细!BM:BM,$F$1,工资明细!H:H,A6,工资明细!I:I,B6,工资明细!J:J,C6)</f>
        <v>0</v>
      </c>
      <c r="H6" s="45">
        <f>SUMIFS(工资明细!AR:AR,工资明细!BM:BM,$F$1,工资明细!H:H,A6,工资明细!I:I,B6,工资明细!J:J,C6)</f>
        <v>0</v>
      </c>
      <c r="I6" s="45">
        <f>F6+G6+H6</f>
        <v>0</v>
      </c>
      <c r="J6" s="45">
        <f>SUMIFS(工资明细!AT:AT,工资明细!BM:BM,$F$1,工资明细!H:H,A6,工资明细!I:I,B6,工资明细!J:J,C6)</f>
        <v>0</v>
      </c>
      <c r="K6" s="45">
        <f>SUMIFS(工资明细!AU:AU,工资明细!BM:BM,$F$1,工资明细!H:H,A6,工资明细!I:I,B6,工资明细!J:J,C6)</f>
        <v>0</v>
      </c>
      <c r="L6" s="45">
        <f>SUMIFS(工资明细!AV:AV,工资明细!BM:BM,$F$1,工资明细!H:H,A6,工资明细!I:I,B6,工资明细!J:J,C6)</f>
        <v>0</v>
      </c>
      <c r="M6" s="46">
        <f>SUMIFS(工资明细!AW:AW,工资明细!BM:BM,$F$1,工资明细!H:H,A6,工资明细!I:I,B6,工资明细!J:J,C6)</f>
        <v>0</v>
      </c>
      <c r="N6" s="47">
        <f>SUMIFS(工资明细!AX:AX,工资明细!BM:BM,$F$1,工资明细!H:H,A6,工资明细!I:I,B6,工资明细!J:J,C6)</f>
        <v>0</v>
      </c>
    </row>
    <row r="7" s="29" customFormat="1" customHeight="1" spans="1:14">
      <c r="A7" s="42" t="s">
        <v>47</v>
      </c>
      <c r="B7" s="43"/>
      <c r="C7" s="43"/>
      <c r="D7" s="48">
        <f t="shared" ref="D7:N7" si="0">SUM(D6:D6)</f>
        <v>0</v>
      </c>
      <c r="E7" s="49">
        <f t="shared" si="0"/>
        <v>0</v>
      </c>
      <c r="F7" s="49">
        <f t="shared" si="0"/>
        <v>0</v>
      </c>
      <c r="G7" s="49">
        <f t="shared" si="0"/>
        <v>0</v>
      </c>
      <c r="H7" s="49">
        <f t="shared" si="0"/>
        <v>0</v>
      </c>
      <c r="I7" s="49">
        <f t="shared" si="0"/>
        <v>0</v>
      </c>
      <c r="J7" s="49">
        <f t="shared" si="0"/>
        <v>0</v>
      </c>
      <c r="K7" s="49">
        <f t="shared" si="0"/>
        <v>0</v>
      </c>
      <c r="L7" s="49">
        <f t="shared" si="0"/>
        <v>0</v>
      </c>
      <c r="M7" s="49">
        <f t="shared" si="0"/>
        <v>0</v>
      </c>
      <c r="N7" s="50">
        <f t="shared" si="0"/>
        <v>0</v>
      </c>
    </row>
    <row r="9" ht="30" customHeight="1" spans="1:14">
      <c r="A9" s="51" t="s">
        <v>48</v>
      </c>
      <c r="B9" s="51"/>
      <c r="C9" s="51"/>
      <c r="D9" s="51"/>
      <c r="E9" s="51"/>
      <c r="F9" s="51"/>
      <c r="G9" s="51"/>
      <c r="H9" s="52"/>
      <c r="I9" s="52"/>
      <c r="J9" s="52"/>
    </row>
    <row r="10" customHeight="1" spans="1:14">
      <c r="A10" s="36" t="s">
        <v>4</v>
      </c>
      <c r="B10" s="37" t="s">
        <v>5</v>
      </c>
      <c r="C10" s="37" t="s">
        <v>6</v>
      </c>
      <c r="D10" s="37" t="s">
        <v>7</v>
      </c>
      <c r="E10" s="37" t="s">
        <v>49</v>
      </c>
      <c r="F10" s="37" t="s">
        <v>50</v>
      </c>
      <c r="G10" s="53" t="s">
        <v>47</v>
      </c>
    </row>
    <row r="11" customHeight="1" spans="1:14">
      <c r="A11" s="39"/>
      <c r="B11" s="40"/>
      <c r="C11" s="40"/>
      <c r="D11" s="40" t="s">
        <v>7</v>
      </c>
      <c r="E11" s="40" t="s">
        <v>18</v>
      </c>
      <c r="F11" s="40" t="s">
        <v>18</v>
      </c>
      <c r="G11" s="54"/>
    </row>
    <row r="12" customHeight="1" spans="1:14">
      <c r="A12" s="42" t="s">
        <v>29</v>
      </c>
      <c r="B12" s="43" t="s">
        <v>32</v>
      </c>
      <c r="C12" s="43" t="s">
        <v>33</v>
      </c>
      <c r="D12" s="44">
        <f>COUNTIFS(工资明细!BM:BM,$F$1,工资明细!H:H,A12,工资明细!I:I,B12,工资明细!J:J,C12)</f>
        <v>0</v>
      </c>
      <c r="E12" s="45">
        <f>SUMIFS(工资明细!BE:BE,工资明细!BM:BM,$F$1,工资明细!H:H,A12,工资明细!I:I,B12,工资明细!J:J,C12)</f>
        <v>0</v>
      </c>
      <c r="F12" s="46">
        <f>SUMIFS(工资明细!AT:AT,工资明细!BM:BM,$F$1,工资明细!H:H,A12,工资明细!I:I,B12,工资明细!J:J,C12)</f>
        <v>0</v>
      </c>
      <c r="G12" s="55">
        <f>SUM(E12:F12)</f>
        <v>0</v>
      </c>
      <c r="I12" s="56"/>
    </row>
    <row r="13" s="28" customFormat="1" customHeight="1" spans="1:14">
      <c r="A13" s="42" t="s">
        <v>47</v>
      </c>
      <c r="B13" s="43"/>
      <c r="C13" s="43"/>
      <c r="D13" s="48">
        <f>SUM(D12:D12)</f>
        <v>0</v>
      </c>
      <c r="E13" s="49">
        <f>SUM(E12:E12)</f>
        <v>0</v>
      </c>
      <c r="F13" s="49">
        <f>SUM(F12:F12)</f>
        <v>0</v>
      </c>
      <c r="G13" s="49">
        <f>SUM(G12:G12)</f>
        <v>0</v>
      </c>
      <c r="H13" s="29"/>
      <c r="I13" s="29"/>
      <c r="J13" s="29"/>
      <c r="K13" s="29"/>
    </row>
    <row r="14" ht="14.25" customHeight="1"/>
    <row r="15" s="28" customFormat="1" ht="30" customHeight="1" spans="1:14">
      <c r="A15" s="57" t="s">
        <v>51</v>
      </c>
      <c r="B15" s="57"/>
      <c r="C15" s="57"/>
      <c r="D15" s="57"/>
      <c r="E15" s="57"/>
      <c r="F15" s="57"/>
      <c r="G15" s="57"/>
      <c r="H15" s="29"/>
      <c r="I15" s="29"/>
      <c r="J15" s="29"/>
      <c r="K15" s="29"/>
      <c r="L15" s="29"/>
    </row>
    <row r="16" s="28" customFormat="1" customHeight="1" spans="1:14">
      <c r="A16" s="36" t="s">
        <v>4</v>
      </c>
      <c r="B16" s="37" t="s">
        <v>5</v>
      </c>
      <c r="C16" s="37" t="s">
        <v>6</v>
      </c>
      <c r="D16" s="37" t="s">
        <v>7</v>
      </c>
      <c r="E16" s="37" t="s">
        <v>52</v>
      </c>
      <c r="F16" s="37" t="s">
        <v>53</v>
      </c>
      <c r="G16" s="37" t="s">
        <v>54</v>
      </c>
      <c r="H16" s="37" t="s">
        <v>75</v>
      </c>
      <c r="I16" s="37" t="s">
        <v>56</v>
      </c>
      <c r="J16" s="37" t="s">
        <v>57</v>
      </c>
      <c r="K16" s="37" t="s">
        <v>58</v>
      </c>
      <c r="L16" s="38" t="s">
        <v>47</v>
      </c>
    </row>
    <row r="17" s="28" customFormat="1" customHeight="1" spans="1:19">
      <c r="A17" s="39"/>
      <c r="B17" s="40"/>
      <c r="C17" s="40"/>
      <c r="D17" s="40"/>
      <c r="E17" s="40" t="s">
        <v>18</v>
      </c>
      <c r="F17" s="40" t="s">
        <v>18</v>
      </c>
      <c r="G17" s="40" t="s">
        <v>18</v>
      </c>
      <c r="H17" s="40" t="s">
        <v>18</v>
      </c>
      <c r="I17" s="40" t="s">
        <v>18</v>
      </c>
      <c r="J17" s="40" t="s">
        <v>18</v>
      </c>
      <c r="K17" s="40" t="s">
        <v>18</v>
      </c>
      <c r="L17" s="41"/>
    </row>
    <row r="18" customHeight="1" spans="1:19">
      <c r="A18" s="42" t="s">
        <v>29</v>
      </c>
      <c r="B18" s="43" t="s">
        <v>32</v>
      </c>
      <c r="C18" s="43" t="s">
        <v>33</v>
      </c>
      <c r="D18" s="44">
        <f>COUNTIFS(工资明细!BM:BM,$F$1,工资明细!H:H,A18,工资明细!I:I,B18,工资明细!J:J,C18)</f>
        <v>0</v>
      </c>
      <c r="E18" s="45">
        <f>SUMIFS(工资明细!AY:AY,工资明细!BM:BM,$F$1,工资明细!H:H,A18,工资明细!I:I,B18,工资明细!J:J,C18)</f>
        <v>0</v>
      </c>
      <c r="F18" s="46">
        <f>SUMIFS(工资明细!AZ:AZ,工资明细!BM:BM,$F$1,工资明细!H:H,A18,工资明细!I:I,B18,工资明细!J:J,C18)</f>
        <v>0</v>
      </c>
      <c r="G18" s="46">
        <f>SUMIFS(工资明细!BA:BA,工资明细!BM:BM,$F$1,工资明细!H:H,A18,工资明细!I:I,B18,工资明细!J:J,C18)</f>
        <v>0</v>
      </c>
      <c r="H18" s="46">
        <f>SUMIFS(工资明细!BB:BB,工资明细!BM:BM,$F$1,工资明细!H:H,A18,工资明细!I:I,B18,工资明细!J:J,C18)</f>
        <v>0</v>
      </c>
      <c r="I18" s="46">
        <f>SUMIFS(工资明细!BC:BC,工资明细!BM:BM,$F$1,工资明细!H:H,A18,工资明细!I:I,B18,工资明细!J:J,C18)</f>
        <v>0</v>
      </c>
      <c r="J18" s="58">
        <f>SUM(E18:I18)</f>
        <v>0</v>
      </c>
      <c r="K18" s="59">
        <f>SUMIFS(工资明细!AS:AS,工资明细!BM:BM,$F$1,工资明细!H:H,A18,工资明细!I:I,B18,工资明细!J:J,C18)</f>
        <v>0</v>
      </c>
      <c r="L18" s="55">
        <f>SUM(J18:K18)</f>
        <v>0</v>
      </c>
      <c r="M18" s="28"/>
      <c r="N18" s="28"/>
      <c r="O18" s="28"/>
      <c r="P18" s="28"/>
      <c r="Q18" s="28"/>
      <c r="R18" s="28"/>
      <c r="S18" s="28"/>
    </row>
    <row r="19" s="28" customFormat="1" customHeight="1" spans="1:19">
      <c r="A19" s="42" t="s">
        <v>47</v>
      </c>
      <c r="B19" s="43"/>
      <c r="C19" s="43"/>
      <c r="D19" s="48">
        <f t="shared" ref="D19:L19" si="1">SUM(D18:D18)</f>
        <v>0</v>
      </c>
      <c r="E19" s="49">
        <f t="shared" si="1"/>
        <v>0</v>
      </c>
      <c r="F19" s="49">
        <f t="shared" si="1"/>
        <v>0</v>
      </c>
      <c r="G19" s="49">
        <f t="shared" si="1"/>
        <v>0</v>
      </c>
      <c r="H19" s="49">
        <f t="shared" si="1"/>
        <v>0</v>
      </c>
      <c r="I19" s="49">
        <f t="shared" si="1"/>
        <v>0</v>
      </c>
      <c r="J19" s="49">
        <f t="shared" si="1"/>
        <v>0</v>
      </c>
      <c r="K19" s="49">
        <f t="shared" si="1"/>
        <v>0</v>
      </c>
      <c r="L19" s="49">
        <f t="shared" si="1"/>
        <v>0</v>
      </c>
    </row>
    <row r="20" ht="30" customHeight="1"/>
  </sheetData>
  <protectedRanges>
    <protectedRange sqref="M18" name="区域1_4_1_1_1"/>
    <protectedRange sqref="H12" name="区域1_4_1_2_1_1"/>
    <protectedRange sqref="E7" name="区域1_4_1_3_1_2"/>
    <protectedRange sqref="D6" name="区域1_4_1_3_1_1_1_1"/>
  </protectedRanges>
  <mergeCells count="20">
    <mergeCell ref="A3:K3"/>
    <mergeCell ref="A7:C7"/>
    <mergeCell ref="A9:G9"/>
    <mergeCell ref="A13:C13"/>
    <mergeCell ref="A15:G15"/>
    <mergeCell ref="A19:C19"/>
    <mergeCell ref="A4:A5"/>
    <mergeCell ref="A10:A11"/>
    <mergeCell ref="A16:A17"/>
    <mergeCell ref="B4:B5"/>
    <mergeCell ref="B10:B11"/>
    <mergeCell ref="B16:B17"/>
    <mergeCell ref="C4:C5"/>
    <mergeCell ref="C10:C11"/>
    <mergeCell ref="C16:C17"/>
    <mergeCell ref="D4:D5"/>
    <mergeCell ref="D10:D11"/>
    <mergeCell ref="D16:D17"/>
    <mergeCell ref="G10:G11"/>
    <mergeCell ref="L16:L17"/>
  </mergeCells>
  <pageMargins left="0.699305555555556" right="0.699305555555556" top="0.75" bottom="0.75" header="0.3" footer="0.3"/>
  <pageSetup paperSize="9" scale="6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"/>
  <sheetViews>
    <sheetView workbookViewId="0">
      <selection activeCell="A4" sqref="$A4:$XFD77"/>
    </sheetView>
  </sheetViews>
  <sheetFormatPr defaultColWidth="8.75221238938053" defaultRowHeight="13.5" outlineLevelRow="4"/>
  <cols>
    <col min="1" max="1" width="3.87610619469027" style="4" customWidth="1"/>
    <col min="2" max="2" width="7.12389380530973" style="4" customWidth="1"/>
    <col min="3" max="3" width="7" style="5" customWidth="1"/>
    <col min="4" max="4" width="15.3716814159292" style="5" customWidth="1"/>
    <col min="5" max="6" width="8.87610619469027" style="6" customWidth="1"/>
    <col min="7" max="7" width="7.3716814159292" style="4" customWidth="1"/>
    <col min="8" max="8" width="15.3716814159292" style="4" customWidth="1"/>
    <col min="9" max="9" width="10.3716814159292" style="4" customWidth="1"/>
    <col min="10" max="10" width="8.87610619469027" style="4" customWidth="1"/>
    <col min="11" max="11" width="18.7522123893805" style="4" customWidth="1"/>
    <col min="12" max="12" width="10.3716814159292" style="4" customWidth="1"/>
    <col min="13" max="14" width="6.6283185840708" style="4" customWidth="1"/>
    <col min="15" max="15" width="8.12389380530973" style="4" customWidth="1"/>
    <col min="16" max="16" width="9.75221238938053" style="4" customWidth="1"/>
    <col min="17" max="17" width="8.12389380530973" style="4" customWidth="1" outlineLevel="1"/>
    <col min="18" max="18" width="8.50442477876106" style="4" customWidth="1" outlineLevel="1"/>
    <col min="19" max="23" width="9.75221238938053" style="4" customWidth="1" outlineLevel="1"/>
    <col min="24" max="28" width="9.75221238938053" style="4" customWidth="1"/>
    <col min="29" max="34" width="11.6283185840708" style="4" customWidth="1"/>
    <col min="35" max="36" width="10" style="4" customWidth="1"/>
    <col min="37" max="38" width="9.12389380530973" style="4" customWidth="1"/>
    <col min="39" max="39" width="7.85840707964602" style="4" customWidth="1"/>
    <col min="40" max="40" width="7.12389380530973" style="4" customWidth="1"/>
    <col min="41" max="41" width="10.3716814159292" style="4" customWidth="1"/>
    <col min="42" max="42" width="8.87610619469027" style="4" customWidth="1" outlineLevel="1"/>
    <col min="43" max="44" width="7.3716814159292" style="4" customWidth="1" outlineLevel="1"/>
    <col min="45" max="46" width="8.87610619469027" style="4" customWidth="1"/>
    <col min="47" max="47" width="9.6283185840708" style="4" customWidth="1"/>
    <col min="48" max="49" width="10.5044247787611" style="4" customWidth="1"/>
    <col min="50" max="50" width="13.7522123893805" style="4" customWidth="1"/>
    <col min="51" max="51" width="10.8761061946903" style="4" customWidth="1"/>
    <col min="52" max="52" width="10.3716814159292" style="4" customWidth="1"/>
    <col min="53" max="53" width="10.8761061946903" style="4" customWidth="1"/>
    <col min="54" max="56" width="10.3716814159292" style="4" customWidth="1"/>
    <col min="57" max="57" width="10.8761061946903" style="4" customWidth="1"/>
    <col min="58" max="58" width="8" style="4" customWidth="1"/>
    <col min="59" max="59" width="15.3716814159292" style="4" customWidth="1"/>
    <col min="60" max="64" width="8" style="4" customWidth="1" outlineLevel="1"/>
    <col min="65" max="65" width="42.1238938053097" style="4" customWidth="1"/>
    <col min="66" max="66" width="21.5044247787611" style="4" customWidth="1"/>
    <col min="67" max="67" width="40" style="4" customWidth="1"/>
    <col min="68" max="68" width="50.6283185840708" style="4" customWidth="1"/>
    <col min="69" max="70" width="7.12389380530973" style="4" customWidth="1"/>
    <col min="71" max="16384" width="8.75221238938053" style="4"/>
  </cols>
  <sheetData>
    <row r="1" s="1" customFormat="1" ht="15.75" spans="1:68">
      <c r="A1" s="7">
        <v>46203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 t="s">
        <v>76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9"/>
      <c r="BH1" s="10"/>
      <c r="BI1" s="10"/>
      <c r="BJ1" s="10"/>
      <c r="BK1" s="10"/>
      <c r="BL1" s="10"/>
      <c r="BM1" s="11"/>
      <c r="BN1" s="11"/>
      <c r="BO1" s="11"/>
      <c r="BP1" s="11"/>
    </row>
    <row r="2" s="2" customFormat="1" ht="26.25" customHeight="1" spans="1:68">
      <c r="A2" s="12" t="s">
        <v>77</v>
      </c>
      <c r="B2" s="13" t="s">
        <v>78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5" t="s">
        <v>79</v>
      </c>
      <c r="O2" s="12" t="s">
        <v>80</v>
      </c>
      <c r="P2" s="12" t="s">
        <v>81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 t="s">
        <v>82</v>
      </c>
      <c r="AD2" s="12"/>
      <c r="AE2" s="12"/>
      <c r="AF2" s="12"/>
      <c r="AG2" s="12"/>
      <c r="AH2" s="12"/>
      <c r="AI2" s="12"/>
      <c r="AJ2" s="12"/>
      <c r="AK2" s="12" t="s">
        <v>83</v>
      </c>
      <c r="AL2" s="12" t="s">
        <v>84</v>
      </c>
      <c r="AM2" s="12"/>
      <c r="AN2" s="12"/>
      <c r="AO2" s="12" t="s">
        <v>85</v>
      </c>
      <c r="AP2" s="12" t="s">
        <v>86</v>
      </c>
      <c r="AQ2" s="12"/>
      <c r="AR2" s="12"/>
      <c r="AS2" s="12"/>
      <c r="AT2" s="12"/>
      <c r="AU2" s="12"/>
      <c r="AV2" s="16" t="s">
        <v>15</v>
      </c>
      <c r="AW2" s="16" t="s">
        <v>16</v>
      </c>
      <c r="AX2" s="17" t="s">
        <v>17</v>
      </c>
      <c r="AY2" s="16" t="s">
        <v>87</v>
      </c>
      <c r="AZ2" s="16"/>
      <c r="BA2" s="16"/>
      <c r="BB2" s="16"/>
      <c r="BC2" s="16"/>
      <c r="BD2" s="16"/>
      <c r="BE2" s="16"/>
      <c r="BF2" s="18" t="s">
        <v>88</v>
      </c>
      <c r="BG2" s="16" t="s">
        <v>89</v>
      </c>
      <c r="BH2" s="19" t="s">
        <v>90</v>
      </c>
      <c r="BI2" s="19"/>
      <c r="BJ2" s="19"/>
      <c r="BK2" s="19"/>
      <c r="BL2" s="19"/>
      <c r="BM2" s="20" t="s">
        <v>91</v>
      </c>
      <c r="BN2" s="21" t="s">
        <v>92</v>
      </c>
      <c r="BO2" s="22" t="s">
        <v>93</v>
      </c>
      <c r="BP2" s="22" t="s">
        <v>89</v>
      </c>
    </row>
    <row r="3" s="3" customFormat="1" ht="26.25" customHeight="1" spans="1:68">
      <c r="A3" s="12" t="s">
        <v>77</v>
      </c>
      <c r="B3" s="12" t="s">
        <v>94</v>
      </c>
      <c r="C3" s="23" t="s">
        <v>95</v>
      </c>
      <c r="D3" s="23" t="s">
        <v>96</v>
      </c>
      <c r="E3" s="12" t="s">
        <v>97</v>
      </c>
      <c r="F3" s="12" t="s">
        <v>98</v>
      </c>
      <c r="G3" s="12" t="s">
        <v>99</v>
      </c>
      <c r="H3" s="12" t="s">
        <v>4</v>
      </c>
      <c r="I3" s="12" t="s">
        <v>5</v>
      </c>
      <c r="J3" s="12" t="s">
        <v>6</v>
      </c>
      <c r="K3" s="12" t="s">
        <v>100</v>
      </c>
      <c r="L3" s="12" t="s">
        <v>101</v>
      </c>
      <c r="M3" s="12" t="s">
        <v>102</v>
      </c>
      <c r="N3" s="15" t="s">
        <v>79</v>
      </c>
      <c r="O3" s="12" t="s">
        <v>80</v>
      </c>
      <c r="P3" s="12" t="s">
        <v>103</v>
      </c>
      <c r="Q3" s="24" t="s">
        <v>104</v>
      </c>
      <c r="R3" s="24" t="s">
        <v>105</v>
      </c>
      <c r="S3" s="24" t="s">
        <v>106</v>
      </c>
      <c r="T3" s="24" t="s">
        <v>107</v>
      </c>
      <c r="U3" s="24" t="s">
        <v>108</v>
      </c>
      <c r="V3" s="24" t="s">
        <v>109</v>
      </c>
      <c r="W3" s="24" t="s">
        <v>110</v>
      </c>
      <c r="X3" s="12" t="s">
        <v>111</v>
      </c>
      <c r="Y3" s="12" t="s">
        <v>112</v>
      </c>
      <c r="Z3" s="12" t="s">
        <v>113</v>
      </c>
      <c r="AA3" s="12" t="s">
        <v>114</v>
      </c>
      <c r="AB3" s="12" t="s">
        <v>115</v>
      </c>
      <c r="AC3" s="12" t="s">
        <v>116</v>
      </c>
      <c r="AD3" s="25" t="s">
        <v>117</v>
      </c>
      <c r="AE3" s="12" t="s">
        <v>118</v>
      </c>
      <c r="AF3" s="12" t="s">
        <v>119</v>
      </c>
      <c r="AG3" s="12" t="s">
        <v>120</v>
      </c>
      <c r="AH3" s="12" t="s">
        <v>121</v>
      </c>
      <c r="AI3" s="12" t="s">
        <v>122</v>
      </c>
      <c r="AJ3" s="12" t="s">
        <v>123</v>
      </c>
      <c r="AK3" s="12" t="s">
        <v>83</v>
      </c>
      <c r="AL3" s="12" t="s">
        <v>124</v>
      </c>
      <c r="AM3" s="12" t="s">
        <v>125</v>
      </c>
      <c r="AN3" s="12" t="s">
        <v>126</v>
      </c>
      <c r="AO3" s="12" t="s">
        <v>85</v>
      </c>
      <c r="AP3" s="24" t="s">
        <v>127</v>
      </c>
      <c r="AQ3" s="26" t="s">
        <v>128</v>
      </c>
      <c r="AR3" s="26" t="s">
        <v>129</v>
      </c>
      <c r="AS3" s="12" t="s">
        <v>130</v>
      </c>
      <c r="AT3" s="12" t="s">
        <v>131</v>
      </c>
      <c r="AU3" s="27" t="s">
        <v>14</v>
      </c>
      <c r="AV3" s="16" t="s">
        <v>15</v>
      </c>
      <c r="AW3" s="16" t="s">
        <v>16</v>
      </c>
      <c r="AX3" s="17" t="s">
        <v>17</v>
      </c>
      <c r="AY3" s="16" t="s">
        <v>132</v>
      </c>
      <c r="AZ3" s="16" t="s">
        <v>133</v>
      </c>
      <c r="BA3" s="16" t="s">
        <v>134</v>
      </c>
      <c r="BB3" s="16" t="s">
        <v>135</v>
      </c>
      <c r="BC3" s="16" t="s">
        <v>136</v>
      </c>
      <c r="BD3" s="16" t="s">
        <v>137</v>
      </c>
      <c r="BE3" s="16" t="s">
        <v>138</v>
      </c>
      <c r="BF3" s="18" t="s">
        <v>88</v>
      </c>
      <c r="BG3" s="16" t="s">
        <v>89</v>
      </c>
      <c r="BH3" s="19" t="s">
        <v>124</v>
      </c>
      <c r="BI3" s="19" t="s">
        <v>139</v>
      </c>
      <c r="BJ3" s="19" t="s">
        <v>140</v>
      </c>
      <c r="BK3" s="19" t="s">
        <v>141</v>
      </c>
      <c r="BL3" s="19" t="s">
        <v>142</v>
      </c>
      <c r="BM3" s="20" t="s">
        <v>91</v>
      </c>
      <c r="BN3" s="21" t="s">
        <v>92</v>
      </c>
      <c r="BO3" s="22" t="s">
        <v>143</v>
      </c>
      <c r="BP3" s="22" t="s">
        <v>89</v>
      </c>
    </row>
    <row r="4" spans="1:68">
      <c r="AO4" s="4" t="e">
        <f>SUM(#REF!)</f>
        <v>#REF!</v>
      </c>
      <c r="AP4" s="4" t="e">
        <f>SUM(#REF!)</f>
        <v>#REF!</v>
      </c>
      <c r="AQ4" s="4" t="e">
        <f>SUM(#REF!)</f>
        <v>#REF!</v>
      </c>
      <c r="AR4" s="4" t="e">
        <f>SUM(#REF!)</f>
        <v>#REF!</v>
      </c>
      <c r="AS4" s="4" t="e">
        <f>SUM(#REF!)</f>
        <v>#REF!</v>
      </c>
      <c r="AT4" s="4" t="e">
        <f>SUM(#REF!)</f>
        <v>#REF!</v>
      </c>
      <c r="AU4" s="4" t="e">
        <f>SUM(#REF!)</f>
        <v>#REF!</v>
      </c>
      <c r="AV4" s="4" t="e">
        <f>SUM(#REF!)</f>
        <v>#REF!</v>
      </c>
      <c r="AW4" s="4" t="e">
        <f>SUM(#REF!)</f>
        <v>#REF!</v>
      </c>
      <c r="AX4" s="4" t="e">
        <f>SUM(#REF!)</f>
        <v>#REF!</v>
      </c>
      <c r="AY4" s="4" t="e">
        <f>SUM(#REF!)</f>
        <v>#REF!</v>
      </c>
      <c r="AZ4" s="4" t="e">
        <f>SUM(#REF!)</f>
        <v>#REF!</v>
      </c>
      <c r="BA4" s="4" t="e">
        <f>SUM(#REF!)</f>
        <v>#REF!</v>
      </c>
      <c r="BB4" s="4" t="e">
        <f>SUM(#REF!)</f>
        <v>#REF!</v>
      </c>
      <c r="BC4" s="4" t="e">
        <f>SUM(#REF!)</f>
        <v>#REF!</v>
      </c>
      <c r="BD4" s="4" t="e">
        <f>SUM(#REF!)</f>
        <v>#REF!</v>
      </c>
      <c r="BE4" s="4" t="e">
        <f>SUM(#REF!)</f>
        <v>#REF!</v>
      </c>
      <c r="BF4" s="4" t="e">
        <f>SUM(#REF!)</f>
        <v>#REF!</v>
      </c>
      <c r="BG4" s="4" t="e">
        <f>SUM(#REF!)</f>
        <v>#REF!</v>
      </c>
      <c r="BH4" s="4" t="e">
        <f>SUM(#REF!)</f>
        <v>#REF!</v>
      </c>
      <c r="BI4" s="4" t="e">
        <f>SUM(#REF!)</f>
        <v>#REF!</v>
      </c>
      <c r="BJ4" s="4" t="e">
        <f>SUM(#REF!)</f>
        <v>#REF!</v>
      </c>
      <c r="BK4" s="4" t="e">
        <f>SUM(#REF!)</f>
        <v>#REF!</v>
      </c>
      <c r="BL4" s="4" t="e">
        <f>SUM(#REF!)</f>
        <v>#REF!</v>
      </c>
    </row>
    <row r="5" spans="1:68">
      <c r="AO5" s="4">
        <f>北分人力成本!E26+成都人力成本!E7+杭州人力成本!E15+广东人力成本!E8+武汉人力成本!E8</f>
        <v>0</v>
      </c>
      <c r="AS5" s="4">
        <f>北分人力成本!I26+北京人力成本!I7+成都人力成本!I7+杭州人力成本!I15+广东人力成本!I8+武汉人力成本!I8</f>
        <v>0</v>
      </c>
      <c r="AT5" s="4">
        <f>北分人力成本!J26+北京人力成本!J7+成都人力成本!J7+杭州人力成本!J15+广东人力成本!J8+武汉人力成本!J8</f>
        <v>0</v>
      </c>
      <c r="AX5" s="4">
        <f>北分人力成本!N26+北京人力成本!N7+成都人力成本!N7+杭州人力成本!N15+广东人力成本!N8+武汉人力成本!N8</f>
        <v>0</v>
      </c>
      <c r="BD5" s="4">
        <f>北分人力成本!J76+北京人力成本!J19+成都人力成本!J19+杭州人力成本!J43+广东人力成本!J22+武汉人力成本!J22</f>
        <v>0</v>
      </c>
      <c r="BE5" s="4">
        <f>北分人力成本!E51+北京人力成本!E13+成都人力成本!E13+杭州人力成本!E29+广东人力成本!E15+武汉人力成本!E15</f>
        <v>0</v>
      </c>
    </row>
  </sheetData>
  <autoFilter xmlns:etc="http://www.wps.cn/officeDocument/2017/etCustomData" ref="A3:BP5" etc:filterBottomFollowUsedRange="0">
    <extLst/>
  </autoFilter>
  <mergeCells count="9">
    <mergeCell ref="A1:AC1"/>
    <mergeCell ref="AD1:BF1"/>
    <mergeCell ref="B2:M2"/>
    <mergeCell ref="P2:AB2"/>
    <mergeCell ref="AC2:AJ2"/>
    <mergeCell ref="AL2:AN2"/>
    <mergeCell ref="AP2:AU2"/>
    <mergeCell ref="AY2:BE2"/>
    <mergeCell ref="BH2:BL2"/>
  </mergeCells>
  <conditionalFormatting sqref="A1">
    <cfRule type="duplicateValues" dxfId="0" priority="15"/>
  </conditionalFormatting>
  <conditionalFormatting sqref="A2">
    <cfRule type="duplicateValues" dxfId="0" priority="16"/>
  </conditionalFormatting>
  <conditionalFormatting sqref="B2">
    <cfRule type="duplicateValues" dxfId="0" priority="18"/>
  </conditionalFormatting>
  <conditionalFormatting sqref="A3">
    <cfRule type="duplicateValues" dxfId="0" priority="17"/>
  </conditionalFormatting>
  <conditionalFormatting sqref="B3">
    <cfRule type="duplicateValues" dxfId="0" priority="19"/>
  </conditionalFormatting>
  <conditionalFormatting sqref="C3">
    <cfRule type="duplicateValues" dxfId="0" priority="21"/>
  </conditionalFormatting>
  <conditionalFormatting sqref="C1:C3">
    <cfRule type="duplicateValues" dxfId="0" priority="13"/>
  </conditionalFormatting>
  <conditionalFormatting sqref="AV2:AY2 BF2 AV3:BF3">
    <cfRule type="cellIs" dxfId="1" priority="20" operator="lessThan">
      <formula>0</formula>
    </cfRule>
  </conditionalFormatting>
  <conditionalFormatting sqref="BG2:BJ2 BG3:BL3">
    <cfRule type="cellIs" dxfId="1" priority="14" operator="lessThan">
      <formula>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4_1_4" rangeCreator="" othersAccessPermission="edit"/>
    <arrUserId title="区域1_4_1_2_2" rangeCreator="" othersAccessPermission="edit"/>
    <arrUserId title="区域1_4_1_3_1_2" rangeCreator="" othersAccessPermission="edit"/>
    <arrUserId title="区域1_4_1_3" rangeCreator="" othersAccessPermission="edit"/>
    <arrUserId title="区域1_4_1_3_1" rangeCreator="" othersAccessPermission="edit"/>
  </rangeList>
  <rangeList sheetStid="2" master="" otherUserPermission="visible">
    <arrUserId title="区域1_4_1_4_1" rangeCreator="" othersAccessPermission="edit"/>
    <arrUserId title="区域1_4_1_2_2_1" rangeCreator="" othersAccessPermission="edit"/>
  </rangeList>
  <rangeList sheetStid="3" master="" otherUserPermission="visible">
    <arrUserId title="区域1_4_1_1_1" rangeCreator="" othersAccessPermission="edit"/>
    <arrUserId title="区域1_4_1_2_1_1" rangeCreator="" othersAccessPermission="edit"/>
    <arrUserId title="区域1_4_1_3_1_1_1" rangeCreator="" othersAccessPermission="edit"/>
  </rangeList>
  <rangeList sheetStid="4" master="" otherUserPermission="visible">
    <arrUserId title="区域1_4_1" rangeCreator="" othersAccessPermission="edit"/>
    <arrUserId title="区域1_4_1_2" rangeCreator="" othersAccessPermission="edit"/>
    <arrUserId title="区域1_4_1_3" rangeCreator="" othersAccessPermission="edit"/>
    <arrUserId title="区域1_4_1_3_1" rangeCreator="" othersAccessPermission="edit"/>
    <arrUserId title="区域1_4_1_3_1_1_1" rangeCreator="" othersAccessPermission="edit"/>
  </rangeList>
  <rangeList sheetStid="5" master="" otherUserPermission="visible">
    <arrUserId title="区域1_4_1_3_1_1" rangeCreator="" othersAccessPermission="edit"/>
    <arrUserId title="区域1_4_1_3_1_1_1" rangeCreator="" othersAccessPermission="edit"/>
  </rangeList>
  <rangeList sheetStid="6" master="" otherUserPermission="visible">
    <arrUserId title="区域1_4_1_1_1" rangeCreator="" othersAccessPermission="edit"/>
    <arrUserId title="区域1_4_1_2_1_2" rangeCreator="" othersAccessPermission="edit"/>
    <arrUserId title="区域1_4_1_3_1_3" rangeCreator="" othersAccessPermission="edit"/>
    <arrUserId title="区域1_4_1_3_1_1_3" rangeCreator="" othersAccessPermission="edit"/>
    <arrUserId title="区域1_4_1_3_1_1_1" rangeCreator="" othersAccessPermission="edit"/>
  </rangeList>
  <rangeList sheetStid="7" master="" otherUserPermission="visible">
    <arrUserId title="区域1_4_1_1_1" rangeCreator="" othersAccessPermission="edit"/>
    <arrUserId title="区域1_4_1_2_1_1" rangeCreator="" othersAccessPermission="edit"/>
    <arrUserId title="区域1_4_1_3_1_2" rangeCreator="" othersAccessPermission="edit"/>
    <arrUserId title="区域1_4_1_3_1_1_1_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北分人力成本</vt:lpstr>
      <vt:lpstr>北京人力成本</vt:lpstr>
      <vt:lpstr>成都人力成本</vt:lpstr>
      <vt:lpstr>杭州人力成本</vt:lpstr>
      <vt:lpstr>广东人力成本</vt:lpstr>
      <vt:lpstr>武汉人力成本</vt:lpstr>
      <vt:lpstr>中汽人力成本</vt:lpstr>
      <vt:lpstr>工资明细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24153</dc:creator>
  <cp:lastModifiedBy>可乐要加冰</cp:lastModifiedBy>
  <dcterms:created xsi:type="dcterms:W3CDTF">2026-03-19T03:12:00Z</dcterms:created>
  <dcterms:modified xsi:type="dcterms:W3CDTF">2026-09-05T08:44:01Z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1FC2004715944BF7BD23DB9C73873CAD_13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